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f908816_reading_ac_uk/Documents/2. Research/1. Projects/Finished/10. SuReChoc_EIT Food 2019/SureChoc Publication/Open Research/"/>
    </mc:Choice>
  </mc:AlternateContent>
  <xr:revisionPtr revIDLastSave="2" documentId="8_{2240CB2B-341B-47CB-B79D-7A4B9B6ECD2A}" xr6:coauthVersionLast="47" xr6:coauthVersionMax="47" xr10:uidLastSave="{F488DEE6-B383-458F-AE4F-8A9BA9017570}"/>
  <bookViews>
    <workbookView xWindow="28680" yWindow="-2325" windowWidth="29040" windowHeight="15840" activeTab="1" xr2:uid="{18F46B31-371B-4EA3-8D13-4DF63E3D9EDB}"/>
  </bookViews>
  <sheets>
    <sheet name="Index" sheetId="1" r:id="rId1"/>
    <sheet name="Figure 1_viscoelastic prop" sheetId="2" r:id="rId2"/>
    <sheet name="Figure 2_Tan Loss" sheetId="3" r:id="rId3"/>
  </sheets>
  <externalReferences>
    <externalReference r:id="rId4"/>
    <externalReference r:id="rId5"/>
  </externalReferences>
  <definedNames>
    <definedName name="xdata1" hidden="1">497.7969+(ROW(OFFSET(#REF!,0,0,70,1))-1)*6.75733478260869</definedName>
    <definedName name="xdata11" hidden="1">407.64+(ROW(OFFSET(#REF!,0,0,70,1))-1)*8.06395652173913</definedName>
    <definedName name="xdata13" hidden="1">497.7969+(ROW(OFFSET(#REF!,0,0,70,1))-1)*6.75733478260869</definedName>
    <definedName name="xdata15" hidden="1">407.64+(ROW(OFFSET(#REF!,0,0,70,1))-1)*8.06395652173912</definedName>
    <definedName name="xdata17" hidden="1">497.7969+(ROW(OFFSET(#REF!,0,0,70,1))-1)*6.75733478260869</definedName>
    <definedName name="xdata19" hidden="1">407.64+(ROW(OFFSET(#REF!,0,0,70,1))-1)*8.06395652173912</definedName>
    <definedName name="xdata21" hidden="1">497.7969+(ROW(OFFSET(#REF!,0,0,70,1))-1)*6.75733478260869</definedName>
    <definedName name="xdata23" hidden="1">407.64+(ROW(OFFSET(#REF!,0,0,70,1))-1)*8.06395652173912</definedName>
    <definedName name="xdata3" hidden="1">407.64+(ROW(OFFSET(#REF!,0,0,70,1))-1)*8.06395652173913</definedName>
    <definedName name="xdata5" hidden="1">497.7969+(ROW(OFFSET(#REF!,0,0,70,1))-1)*6.75733478260869</definedName>
    <definedName name="xdata7" hidden="1">407.64+(ROW(OFFSET(#REF!,0,0,70,1))-1)*8.06395652173913</definedName>
    <definedName name="xdata9" hidden="1">497.7969+(ROW(OFFSET(#REF!,0,0,70,1))-1)*6.75733478260869</definedName>
    <definedName name="ydata1" localSheetId="1" hidden="1">0+1*[0]!xdata9-119.463849301374*(1.01369863013699+([0]!xdata9-657.686164383562)^2/243720.455091668)^0.5</definedName>
    <definedName name="ydata1" localSheetId="2" hidden="1">0+1*[0]!xdata9-119.463849301374*(1.01369863013699+([0]!xdata9-657.686164383562)^2/243720.455091668)^0.5</definedName>
    <definedName name="ydata1" hidden="1">0+1*[1]!xdata9-119.463849301374*(1.01369863013699+([1]!xdata9-657.686164383562)^2/243720.455091668)^0.5</definedName>
    <definedName name="ydata10" localSheetId="1" hidden="1">0+1*[0]!xdata9-119.463849301374*(1.01369863013699+([0]!xdata9-657.686164383562)^2/243720.455091668)^0.5</definedName>
    <definedName name="ydata10" localSheetId="2" hidden="1">0+1*[0]!xdata9-119.463849301374*(1.01369863013699+([0]!xdata9-657.686164383562)^2/243720.455091668)^0.5</definedName>
    <definedName name="ydata10" hidden="1">0+1*[1]!xdata9-119.463849301374*(1.01369863013699+([1]!xdata9-657.686164383562)^2/243720.455091668)^0.5</definedName>
    <definedName name="ydata12" localSheetId="1" hidden="1">0+1*[0]!xdata11+119.463849301374*(1.01369863013699+([0]!xdata11-657.686164383562)^2/243720.455091668)^0.5</definedName>
    <definedName name="ydata12" localSheetId="2" hidden="1">0+1*[0]!xdata11+119.463849301374*(1.01369863013699+([0]!xdata11-657.686164383562)^2/243720.455091668)^0.5</definedName>
    <definedName name="ydata12" hidden="1">0+1*[1]!xdata11+119.463849301374*(1.01369863013699+([1]!xdata11-657.686164383562)^2/243720.455091668)^0.5</definedName>
    <definedName name="ydata14" localSheetId="1" hidden="1">0+1*[0]!xdata13-119.463849301374*(1.01369863013699+([0]!xdata13-657.686164383562)^2/243720.455091666)^0.5</definedName>
    <definedName name="ydata14" localSheetId="2" hidden="1">0+1*[0]!xdata13-119.463849301374*(1.01369863013699+([0]!xdata13-657.686164383562)^2/243720.455091666)^0.5</definedName>
    <definedName name="ydata14" hidden="1">0+1*[1]!xdata13-119.463849301374*(1.01369863013699+([1]!xdata13-657.686164383562)^2/243720.455091666)^0.5</definedName>
    <definedName name="ydata16" localSheetId="1" hidden="1">0+1*[0]!xdata15+119.463849301374*(1.01369863013699+([0]!xdata15-657.686164383562)^2/243720.455091666)^0.5</definedName>
    <definedName name="ydata16" localSheetId="2" hidden="1">0+1*[0]!xdata15+119.463849301374*(1.01369863013699+([0]!xdata15-657.686164383562)^2/243720.455091666)^0.5</definedName>
    <definedName name="ydata16" hidden="1">0+1*[1]!xdata15+119.463849301374*(1.01369863013699+([1]!xdata15-657.686164383562)^2/243720.455091666)^0.5</definedName>
    <definedName name="ydata18" localSheetId="1" hidden="1">0+1*[0]!xdata17-119.463849301374*(1.01369863013699+([0]!xdata17-657.686164383562)^2/243720.455091666)^0.5</definedName>
    <definedName name="ydata18" localSheetId="2" hidden="1">0+1*[0]!xdata17-119.463849301374*(1.01369863013699+([0]!xdata17-657.686164383562)^2/243720.455091666)^0.5</definedName>
    <definedName name="ydata18" hidden="1">0+1*[1]!xdata17-119.463849301374*(1.01369863013699+([1]!xdata17-657.686164383562)^2/243720.455091666)^0.5</definedName>
    <definedName name="ydata2" localSheetId="1" hidden="1">0+1*[0]!xdata1-120.303259123733*(1.01388888888889+([0]!xdata1-656.762777777778)^2/243391.204127382)^0.5</definedName>
    <definedName name="ydata2" localSheetId="2" hidden="1">0+1*[0]!xdata1-120.303259123733*(1.01388888888889+([0]!xdata1-656.762777777778)^2/243391.204127382)^0.5</definedName>
    <definedName name="ydata2" hidden="1">0+1*[1]!xdata1-120.303259123733*(1.01388888888889+([1]!xdata1-656.762777777778)^2/243391.204127382)^0.5</definedName>
    <definedName name="ydata20" localSheetId="1" hidden="1">0+1*[0]!xdata19+119.463849301374*(1.01369863013699+([0]!xdata19-657.686164383562)^2/243720.455091666)^0.5</definedName>
    <definedName name="ydata20" localSheetId="2" hidden="1">0+1*[0]!xdata19+119.463849301374*(1.01369863013699+([0]!xdata19-657.686164383562)^2/243720.455091666)^0.5</definedName>
    <definedName name="ydata20" hidden="1">0+1*[1]!xdata19+119.463849301374*(1.01369863013699+([1]!xdata19-657.686164383562)^2/243720.455091666)^0.5</definedName>
    <definedName name="ydata22" localSheetId="1" hidden="1">0+1*[0]!xdata21-119.463849301374*(1.01369863013699+([0]!xdata21-657.686164383562)^2/243720.455091666)^0.5</definedName>
    <definedName name="ydata22" localSheetId="2" hidden="1">0+1*[0]!xdata21-119.463849301374*(1.01369863013699+([0]!xdata21-657.686164383562)^2/243720.455091666)^0.5</definedName>
    <definedName name="ydata22" hidden="1">0+1*[1]!xdata21-119.463849301374*(1.01369863013699+([1]!xdata21-657.686164383562)^2/243720.455091666)^0.5</definedName>
    <definedName name="ydata24" localSheetId="1" hidden="1">0+1*[0]!xdata23+119.463849301374*(1.01369863013699+([0]!xdata23-657.686164383562)^2/243720.455091666)^0.5</definedName>
    <definedName name="ydata24" localSheetId="2" hidden="1">0+1*[0]!xdata23+119.463849301374*(1.01369863013699+([0]!xdata23-657.686164383562)^2/243720.455091666)^0.5</definedName>
    <definedName name="ydata24" hidden="1">0+1*[1]!xdata23+119.463849301374*(1.01369863013699+([1]!xdata23-657.686164383562)^2/243720.455091666)^0.5</definedName>
    <definedName name="ydata4" localSheetId="1" hidden="1">0+1*[0]!xdata3+120.303259123733*(1.01388888888889+([0]!xdata3-656.762777777778)^2/243391.204127382)^0.5</definedName>
    <definedName name="ydata4" localSheetId="2" hidden="1">0+1*[0]!xdata3+120.303259123733*(1.01388888888889+([0]!xdata3-656.762777777778)^2/243391.204127382)^0.5</definedName>
    <definedName name="ydata4" hidden="1">0+1*[1]!xdata3+120.303259123733*(1.01388888888889+([1]!xdata3-656.762777777778)^2/243391.204127382)^0.5</definedName>
    <definedName name="ydata6" localSheetId="1" hidden="1">0+1*[0]!xdata5-120.303259123733*(1.01388888888889+([0]!xdata5-656.762777777778)^2/243391.204127382)^0.5</definedName>
    <definedName name="ydata6" localSheetId="2" hidden="1">0+1*[0]!xdata5-120.303259123733*(1.01388888888889+([0]!xdata5-656.762777777778)^2/243391.204127382)^0.5</definedName>
    <definedName name="ydata6" hidden="1">0+1*[1]!xdata5-120.303259123733*(1.01388888888889+([1]!xdata5-656.762777777778)^2/243391.204127382)^0.5</definedName>
    <definedName name="ydata8" localSheetId="1" hidden="1">0+1*[0]!xdata7+120.303259123733*(1.01388888888889+([0]!xdata7-656.762777777778)^2/243391.204127382)^0.5</definedName>
    <definedName name="ydata8" localSheetId="2" hidden="1">0+1*[0]!xdata7+120.303259123733*(1.01388888888889+([0]!xdata7-656.762777777778)^2/243391.204127382)^0.5</definedName>
    <definedName name="ydata8" hidden="1">0+1*[1]!xdata7+120.303259123733*(1.01388888888889+([1]!xdata7-656.762777777778)^2/243391.204127382)^0.5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1" i="3" l="1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</calcChain>
</file>

<file path=xl/sharedStrings.xml><?xml version="1.0" encoding="utf-8"?>
<sst xmlns="http://schemas.openxmlformats.org/spreadsheetml/2006/main" count="312" uniqueCount="55">
  <si>
    <t>FIGURE/TABLE</t>
  </si>
  <si>
    <t>TITLE</t>
  </si>
  <si>
    <t>MANUSCRIPT SECTION</t>
  </si>
  <si>
    <t>Figure 1</t>
  </si>
  <si>
    <t>Frequency dependence of the storage (G’) and loss (G”) modulus of the doughs.</t>
  </si>
  <si>
    <t>3.1. Viscoelastic properties of biscuit doughs</t>
  </si>
  <si>
    <t>Figure 2</t>
  </si>
  <si>
    <t>Frequency dependence of the tanδ of the biscuit doughs.</t>
  </si>
  <si>
    <t>ACRONYM</t>
  </si>
  <si>
    <t>VARIABLES</t>
  </si>
  <si>
    <t xml:space="preserve">LOCATION </t>
  </si>
  <si>
    <t>Control</t>
  </si>
  <si>
    <t xml:space="preserve"> Full sugar biscuit dough</t>
  </si>
  <si>
    <t>Nutriose (N)</t>
  </si>
  <si>
    <t>30% sugar reduced dough biscuit with Nutriose® FM06</t>
  </si>
  <si>
    <t>Promitor (P)</t>
  </si>
  <si>
    <t>30% sugar reduced dough biscuit with Promitor® 70R</t>
  </si>
  <si>
    <t>Orafti (O)</t>
  </si>
  <si>
    <t>30% sugar reduced dough biscuit with Orafti® HIS</t>
  </si>
  <si>
    <t>Fibruline (F)</t>
  </si>
  <si>
    <t>30% sugar reduced dough biscuit with Fibruline™ Instant</t>
  </si>
  <si>
    <t>Frequency</t>
  </si>
  <si>
    <t>Elastic or Storage modulus (G')</t>
  </si>
  <si>
    <t>Elastic component of a viscoelastic product [Pa]</t>
  </si>
  <si>
    <t>Viscous or Loss modulus (G'')</t>
  </si>
  <si>
    <t xml:space="preserve"> Viscous component of a viscoelastic product [Pa]</t>
  </si>
  <si>
    <t>Loss tangent (tan delta)</t>
  </si>
  <si>
    <t>Tangent of the phase angle (δ) between stress and strain. tan δ = Gꞌꞌ/ Gꞌ.</t>
  </si>
  <si>
    <t>Average values</t>
  </si>
  <si>
    <t>Control (C)</t>
  </si>
  <si>
    <t>Storage Modulus</t>
  </si>
  <si>
    <t>Loss Modulus</t>
  </si>
  <si>
    <t>Hz</t>
  </si>
  <si>
    <t>[Pa]</t>
  </si>
  <si>
    <t>Replicate 1</t>
  </si>
  <si>
    <t>Replicate 2</t>
  </si>
  <si>
    <t>Replicate 3</t>
  </si>
  <si>
    <t>Replicate 4</t>
  </si>
  <si>
    <t>Replicate5</t>
  </si>
  <si>
    <t>Replicate 6</t>
  </si>
  <si>
    <t>Angular Frequency</t>
  </si>
  <si>
    <t>[rad/s]</t>
  </si>
  <si>
    <t>Fibruline</t>
  </si>
  <si>
    <t>Point No.</t>
  </si>
  <si>
    <t>Fibruline average</t>
  </si>
  <si>
    <t>Nutrionse</t>
  </si>
  <si>
    <t>Loss Factor</t>
  </si>
  <si>
    <t>average</t>
  </si>
  <si>
    <t>[1]</t>
  </si>
  <si>
    <t>Orafti</t>
  </si>
  <si>
    <t>Promitor</t>
  </si>
  <si>
    <t>Nutriose</t>
  </si>
  <si>
    <t>Frequency (Hz)</t>
  </si>
  <si>
    <r>
      <t xml:space="preserve">Tan </t>
    </r>
    <r>
      <rPr>
        <sz val="11"/>
        <color theme="1"/>
        <rFont val="Calibri"/>
        <family val="2"/>
      </rPr>
      <t>δ</t>
    </r>
  </si>
  <si>
    <t>Rheological oscillation measurements [Hz or rad/s]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</si>
</sst>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2" fontId="2" fillId="0" borderId="0" xfId="0" applyNumberFormat="1" applyFont="1"/>
    <xf numFmtId="0" fontId="6" fillId="0" borderId="0" xfId="0" applyFont="1"/>
    <xf numFmtId="1" fontId="0" fillId="0" borderId="0" xfId="0" applyNumberForma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Frequency Sweeps</a:t>
            </a:r>
          </a:p>
        </c:rich>
      </c:tx>
      <c:layout>
        <c:manualLayout>
          <c:xMode val="edge"/>
          <c:yMode val="edge"/>
          <c:x val="0.4261596675415573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C-G'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prop'!$B$4:$B$22</c:f>
              <c:numCache>
                <c:formatCode>0.00</c:formatCode>
                <c:ptCount val="19"/>
                <c:pt idx="0">
                  <c:v>143795</c:v>
                </c:pt>
                <c:pt idx="1">
                  <c:v>164251.66666666666</c:v>
                </c:pt>
                <c:pt idx="2">
                  <c:v>182911.66666666666</c:v>
                </c:pt>
                <c:pt idx="3">
                  <c:v>202506.66666666666</c:v>
                </c:pt>
                <c:pt idx="4">
                  <c:v>222133.33333333334</c:v>
                </c:pt>
                <c:pt idx="5">
                  <c:v>243690</c:v>
                </c:pt>
                <c:pt idx="6">
                  <c:v>266813.33333333331</c:v>
                </c:pt>
                <c:pt idx="7">
                  <c:v>292256.66666666669</c:v>
                </c:pt>
                <c:pt idx="8">
                  <c:v>320241.66666666669</c:v>
                </c:pt>
                <c:pt idx="9">
                  <c:v>351395</c:v>
                </c:pt>
                <c:pt idx="10">
                  <c:v>386441.66666666669</c:v>
                </c:pt>
                <c:pt idx="11">
                  <c:v>426075</c:v>
                </c:pt>
                <c:pt idx="12">
                  <c:v>470945</c:v>
                </c:pt>
                <c:pt idx="13">
                  <c:v>522358.33333333331</c:v>
                </c:pt>
                <c:pt idx="14">
                  <c:v>581923.33333333337</c:v>
                </c:pt>
                <c:pt idx="15">
                  <c:v>651120</c:v>
                </c:pt>
                <c:pt idx="16">
                  <c:v>733116.66666666663</c:v>
                </c:pt>
                <c:pt idx="17">
                  <c:v>832221.66666666663</c:v>
                </c:pt>
                <c:pt idx="18">
                  <c:v>958150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5B-42D8-8067-BD1B98C7FC18}"/>
            </c:ext>
          </c:extLst>
        </c:ser>
        <c:ser>
          <c:idx val="1"/>
          <c:order val="1"/>
          <c:tx>
            <c:v>C-G''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prop'!$C$4:$C$22</c:f>
              <c:numCache>
                <c:formatCode>0.00</c:formatCode>
                <c:ptCount val="19"/>
                <c:pt idx="0">
                  <c:v>68434.399999999994</c:v>
                </c:pt>
                <c:pt idx="1">
                  <c:v>72907.399999999994</c:v>
                </c:pt>
                <c:pt idx="2">
                  <c:v>79084.600000000006</c:v>
                </c:pt>
                <c:pt idx="3">
                  <c:v>86636.2</c:v>
                </c:pt>
                <c:pt idx="4">
                  <c:v>95240.6</c:v>
                </c:pt>
                <c:pt idx="5">
                  <c:v>104962.6</c:v>
                </c:pt>
                <c:pt idx="6">
                  <c:v>116694</c:v>
                </c:pt>
                <c:pt idx="7">
                  <c:v>130556</c:v>
                </c:pt>
                <c:pt idx="8">
                  <c:v>147142</c:v>
                </c:pt>
                <c:pt idx="9">
                  <c:v>166596</c:v>
                </c:pt>
                <c:pt idx="10">
                  <c:v>189554</c:v>
                </c:pt>
                <c:pt idx="11">
                  <c:v>216718</c:v>
                </c:pt>
                <c:pt idx="12">
                  <c:v>248940</c:v>
                </c:pt>
                <c:pt idx="13">
                  <c:v>286856</c:v>
                </c:pt>
                <c:pt idx="14">
                  <c:v>331908</c:v>
                </c:pt>
                <c:pt idx="15">
                  <c:v>385504</c:v>
                </c:pt>
                <c:pt idx="16">
                  <c:v>450050</c:v>
                </c:pt>
                <c:pt idx="17">
                  <c:v>529118</c:v>
                </c:pt>
                <c:pt idx="18">
                  <c:v>634658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5B-42D8-8067-BD1B98C7FC18}"/>
            </c:ext>
          </c:extLst>
        </c:ser>
        <c:ser>
          <c:idx val="2"/>
          <c:order val="2"/>
          <c:tx>
            <c:v>F-G'</c:v>
          </c:tx>
          <c:spPr>
            <a:ln w="19050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68000"/>
                </a:schemeClr>
              </a:solidFill>
              <a:ln w="9525">
                <a:solidFill>
                  <a:schemeClr val="accent4">
                    <a:shade val="68000"/>
                  </a:schemeClr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prop'!$D$4:$D$22</c:f>
              <c:numCache>
                <c:formatCode>0.00</c:formatCode>
                <c:ptCount val="19"/>
                <c:pt idx="0">
                  <c:v>193816.83333333334</c:v>
                </c:pt>
                <c:pt idx="1">
                  <c:v>217025.83333333334</c:v>
                </c:pt>
                <c:pt idx="2">
                  <c:v>236537.5</c:v>
                </c:pt>
                <c:pt idx="3">
                  <c:v>255881.66666666666</c:v>
                </c:pt>
                <c:pt idx="4">
                  <c:v>275068.33333333331</c:v>
                </c:pt>
                <c:pt idx="5">
                  <c:v>295291.66666666669</c:v>
                </c:pt>
                <c:pt idx="6">
                  <c:v>315888.33333333331</c:v>
                </c:pt>
                <c:pt idx="7">
                  <c:v>337701.66666666669</c:v>
                </c:pt>
                <c:pt idx="8">
                  <c:v>360233.33333333331</c:v>
                </c:pt>
                <c:pt idx="9">
                  <c:v>383878.33333333331</c:v>
                </c:pt>
                <c:pt idx="10">
                  <c:v>409821.66666666669</c:v>
                </c:pt>
                <c:pt idx="11">
                  <c:v>436258.33333333331</c:v>
                </c:pt>
                <c:pt idx="12">
                  <c:v>464708.33333333331</c:v>
                </c:pt>
                <c:pt idx="13">
                  <c:v>493335</c:v>
                </c:pt>
                <c:pt idx="14">
                  <c:v>525318.33333333337</c:v>
                </c:pt>
                <c:pt idx="15">
                  <c:v>552868.33333333337</c:v>
                </c:pt>
                <c:pt idx="16">
                  <c:v>581936.66666666663</c:v>
                </c:pt>
                <c:pt idx="17">
                  <c:v>607686.66666666663</c:v>
                </c:pt>
                <c:pt idx="18">
                  <c:v>611723.33333333337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5B-42D8-8067-BD1B98C7FC18}"/>
            </c:ext>
          </c:extLst>
        </c:ser>
        <c:ser>
          <c:idx val="3"/>
          <c:order val="3"/>
          <c:tx>
            <c:v>F-G''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64A2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prop'!$E$4:$E$22</c:f>
              <c:numCache>
                <c:formatCode>0.00</c:formatCode>
                <c:ptCount val="19"/>
                <c:pt idx="0">
                  <c:v>78498</c:v>
                </c:pt>
                <c:pt idx="1">
                  <c:v>79736.833333333328</c:v>
                </c:pt>
                <c:pt idx="2">
                  <c:v>82860.833333333328</c:v>
                </c:pt>
                <c:pt idx="3">
                  <c:v>86999.666666666672</c:v>
                </c:pt>
                <c:pt idx="4">
                  <c:v>91797.666666666672</c:v>
                </c:pt>
                <c:pt idx="5">
                  <c:v>97513.166666666672</c:v>
                </c:pt>
                <c:pt idx="6">
                  <c:v>103778.5</c:v>
                </c:pt>
                <c:pt idx="7">
                  <c:v>111225.83333333333</c:v>
                </c:pt>
                <c:pt idx="8">
                  <c:v>119117.16666666667</c:v>
                </c:pt>
                <c:pt idx="9">
                  <c:v>128380.83333333333</c:v>
                </c:pt>
                <c:pt idx="10">
                  <c:v>138122.83333333334</c:v>
                </c:pt>
                <c:pt idx="11">
                  <c:v>148929.83333333334</c:v>
                </c:pt>
                <c:pt idx="12">
                  <c:v>160746.33333333334</c:v>
                </c:pt>
                <c:pt idx="13">
                  <c:v>173789</c:v>
                </c:pt>
                <c:pt idx="14">
                  <c:v>188214.5</c:v>
                </c:pt>
                <c:pt idx="15">
                  <c:v>204062.33333333334</c:v>
                </c:pt>
                <c:pt idx="16">
                  <c:v>220886.33333333334</c:v>
                </c:pt>
                <c:pt idx="17">
                  <c:v>240910</c:v>
                </c:pt>
                <c:pt idx="18">
                  <c:v>269291.66666666669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5B-42D8-8067-BD1B98C7FC18}"/>
            </c:ext>
          </c:extLst>
        </c:ser>
        <c:ser>
          <c:idx val="4"/>
          <c:order val="4"/>
          <c:tx>
            <c:v>N-G'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prop'!$F$4:$F$22</c:f>
              <c:numCache>
                <c:formatCode>0.00</c:formatCode>
                <c:ptCount val="19"/>
                <c:pt idx="0">
                  <c:v>105125.83333333333</c:v>
                </c:pt>
                <c:pt idx="1">
                  <c:v>124931.16666666667</c:v>
                </c:pt>
                <c:pt idx="2">
                  <c:v>140684.33333333334</c:v>
                </c:pt>
                <c:pt idx="3">
                  <c:v>157728.16666666666</c:v>
                </c:pt>
                <c:pt idx="4">
                  <c:v>175116.66666666666</c:v>
                </c:pt>
                <c:pt idx="5">
                  <c:v>193791.66666666666</c:v>
                </c:pt>
                <c:pt idx="6">
                  <c:v>213723.33333333334</c:v>
                </c:pt>
                <c:pt idx="7">
                  <c:v>235401.66666666666</c:v>
                </c:pt>
                <c:pt idx="8">
                  <c:v>259300</c:v>
                </c:pt>
                <c:pt idx="9">
                  <c:v>285636.66666666669</c:v>
                </c:pt>
                <c:pt idx="10">
                  <c:v>314925</c:v>
                </c:pt>
                <c:pt idx="11">
                  <c:v>347376.66666666669</c:v>
                </c:pt>
                <c:pt idx="12">
                  <c:v>383468.33333333331</c:v>
                </c:pt>
                <c:pt idx="13">
                  <c:v>423605</c:v>
                </c:pt>
                <c:pt idx="14">
                  <c:v>467988.33333333331</c:v>
                </c:pt>
                <c:pt idx="15">
                  <c:v>516236.66666666669</c:v>
                </c:pt>
                <c:pt idx="16">
                  <c:v>568086.66666666663</c:v>
                </c:pt>
                <c:pt idx="17">
                  <c:v>625780</c:v>
                </c:pt>
                <c:pt idx="18">
                  <c:v>687345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5B-42D8-8067-BD1B98C7FC18}"/>
            </c:ext>
          </c:extLst>
        </c:ser>
        <c:ser>
          <c:idx val="5"/>
          <c:order val="5"/>
          <c:tx>
            <c:v>N-G''</c:v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prop'!$G$4:$G$22</c:f>
              <c:numCache>
                <c:formatCode>0.00</c:formatCode>
                <c:ptCount val="19"/>
                <c:pt idx="0">
                  <c:v>57526</c:v>
                </c:pt>
                <c:pt idx="1">
                  <c:v>61612</c:v>
                </c:pt>
                <c:pt idx="2">
                  <c:v>67181.666666666672</c:v>
                </c:pt>
                <c:pt idx="3">
                  <c:v>72984.166666666672</c:v>
                </c:pt>
                <c:pt idx="4">
                  <c:v>79986.833333333328</c:v>
                </c:pt>
                <c:pt idx="5">
                  <c:v>87917.333333333328</c:v>
                </c:pt>
                <c:pt idx="6">
                  <c:v>97525.833333333328</c:v>
                </c:pt>
                <c:pt idx="7">
                  <c:v>108569.83333333333</c:v>
                </c:pt>
                <c:pt idx="8">
                  <c:v>121298.83333333333</c:v>
                </c:pt>
                <c:pt idx="9">
                  <c:v>135878.66666666666</c:v>
                </c:pt>
                <c:pt idx="10">
                  <c:v>152665.33333333334</c:v>
                </c:pt>
                <c:pt idx="11">
                  <c:v>171738.33333333334</c:v>
                </c:pt>
                <c:pt idx="12">
                  <c:v>193348.33333333334</c:v>
                </c:pt>
                <c:pt idx="13">
                  <c:v>217693.33333333334</c:v>
                </c:pt>
                <c:pt idx="14">
                  <c:v>245033.33333333334</c:v>
                </c:pt>
                <c:pt idx="15">
                  <c:v>275613.33333333331</c:v>
                </c:pt>
                <c:pt idx="16">
                  <c:v>309890</c:v>
                </c:pt>
                <c:pt idx="17">
                  <c:v>350411.66666666669</c:v>
                </c:pt>
                <c:pt idx="18">
                  <c:v>402281.66666666669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5B-42D8-8067-BD1B98C7FC18}"/>
            </c:ext>
          </c:extLst>
        </c:ser>
        <c:ser>
          <c:idx val="6"/>
          <c:order val="6"/>
          <c:tx>
            <c:v>O-G'</c:v>
          </c:tx>
          <c:spPr>
            <a:ln w="19050" cap="rnd">
              <a:solidFill>
                <a:srgbClr val="FF7C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C80"/>
              </a:solidFill>
              <a:ln w="9525">
                <a:solidFill>
                  <a:srgbClr val="FF7C80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prop'!$H$4:$H$22</c:f>
              <c:numCache>
                <c:formatCode>0.00</c:formatCode>
                <c:ptCount val="19"/>
                <c:pt idx="0">
                  <c:v>348128.33333333331</c:v>
                </c:pt>
                <c:pt idx="1">
                  <c:v>407385</c:v>
                </c:pt>
                <c:pt idx="2">
                  <c:v>451971.66666666669</c:v>
                </c:pt>
                <c:pt idx="3">
                  <c:v>492828.33333333331</c:v>
                </c:pt>
                <c:pt idx="4">
                  <c:v>533013.33333333337</c:v>
                </c:pt>
                <c:pt idx="5">
                  <c:v>573620</c:v>
                </c:pt>
                <c:pt idx="6">
                  <c:v>614920</c:v>
                </c:pt>
                <c:pt idx="7">
                  <c:v>657096.66666666663</c:v>
                </c:pt>
                <c:pt idx="8">
                  <c:v>700256.66666666663</c:v>
                </c:pt>
                <c:pt idx="9">
                  <c:v>742511.66666666663</c:v>
                </c:pt>
                <c:pt idx="10">
                  <c:v>782726.66666666663</c:v>
                </c:pt>
                <c:pt idx="11">
                  <c:v>825616.66666666663</c:v>
                </c:pt>
                <c:pt idx="12">
                  <c:v>871016.66666666663</c:v>
                </c:pt>
                <c:pt idx="13">
                  <c:v>916918.33333333337</c:v>
                </c:pt>
                <c:pt idx="14">
                  <c:v>959121.66666666663</c:v>
                </c:pt>
                <c:pt idx="15">
                  <c:v>993511.66666666663</c:v>
                </c:pt>
                <c:pt idx="16">
                  <c:v>1039718.3333333334</c:v>
                </c:pt>
                <c:pt idx="17">
                  <c:v>1077425</c:v>
                </c:pt>
                <c:pt idx="18">
                  <c:v>1114476.6666666667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5B-42D8-8067-BD1B98C7FC18}"/>
            </c:ext>
          </c:extLst>
        </c:ser>
        <c:ser>
          <c:idx val="7"/>
          <c:order val="7"/>
          <c:tx>
            <c:v>O-G''</c:v>
          </c:tx>
          <c:spPr>
            <a:ln w="19050" cap="rnd">
              <a:solidFill>
                <a:srgbClr val="FF7C8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7C80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prop'!$I$4:$I$22</c:f>
              <c:numCache>
                <c:formatCode>0.00</c:formatCode>
                <c:ptCount val="19"/>
                <c:pt idx="0">
                  <c:v>159730.5</c:v>
                </c:pt>
                <c:pt idx="1">
                  <c:v>168891.5</c:v>
                </c:pt>
                <c:pt idx="2">
                  <c:v>177954.66666666666</c:v>
                </c:pt>
                <c:pt idx="3">
                  <c:v>189637.83333333334</c:v>
                </c:pt>
                <c:pt idx="4">
                  <c:v>202416.33333333334</c:v>
                </c:pt>
                <c:pt idx="5">
                  <c:v>216851.66666666666</c:v>
                </c:pt>
                <c:pt idx="6">
                  <c:v>232808.33333333334</c:v>
                </c:pt>
                <c:pt idx="7">
                  <c:v>250055</c:v>
                </c:pt>
                <c:pt idx="8">
                  <c:v>268881.66666666669</c:v>
                </c:pt>
                <c:pt idx="9">
                  <c:v>289018.33333333331</c:v>
                </c:pt>
                <c:pt idx="10">
                  <c:v>308988.33333333331</c:v>
                </c:pt>
                <c:pt idx="11">
                  <c:v>329640</c:v>
                </c:pt>
                <c:pt idx="12">
                  <c:v>351640</c:v>
                </c:pt>
                <c:pt idx="13">
                  <c:v>373628.33333333331</c:v>
                </c:pt>
                <c:pt idx="14">
                  <c:v>396278.33333333331</c:v>
                </c:pt>
                <c:pt idx="15">
                  <c:v>415010</c:v>
                </c:pt>
                <c:pt idx="16">
                  <c:v>437460</c:v>
                </c:pt>
                <c:pt idx="17">
                  <c:v>461468.33333333331</c:v>
                </c:pt>
                <c:pt idx="18">
                  <c:v>493151.66666666669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5B-42D8-8067-BD1B98C7FC18}"/>
            </c:ext>
          </c:extLst>
        </c:ser>
        <c:ser>
          <c:idx val="8"/>
          <c:order val="8"/>
          <c:tx>
            <c:v>P-G'</c:v>
          </c:tx>
          <c:spPr>
            <a:ln w="19050" cap="rnd">
              <a:solidFill>
                <a:srgbClr val="CC99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9900"/>
              </a:solidFill>
              <a:ln w="9525">
                <a:solidFill>
                  <a:srgbClr val="CC9900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prop'!$J$4:$J$22</c:f>
              <c:numCache>
                <c:formatCode>0.00</c:formatCode>
                <c:ptCount val="19"/>
                <c:pt idx="0">
                  <c:v>128991.16666666667</c:v>
                </c:pt>
                <c:pt idx="1">
                  <c:v>147720</c:v>
                </c:pt>
                <c:pt idx="2">
                  <c:v>164981.66666666666</c:v>
                </c:pt>
                <c:pt idx="3">
                  <c:v>182208.33333333334</c:v>
                </c:pt>
                <c:pt idx="4">
                  <c:v>200053.33333333334</c:v>
                </c:pt>
                <c:pt idx="5">
                  <c:v>219361.66666666666</c:v>
                </c:pt>
                <c:pt idx="6">
                  <c:v>240528.33333333334</c:v>
                </c:pt>
                <c:pt idx="7">
                  <c:v>263543.33333333331</c:v>
                </c:pt>
                <c:pt idx="8">
                  <c:v>288635</c:v>
                </c:pt>
                <c:pt idx="9">
                  <c:v>316468.33333333331</c:v>
                </c:pt>
                <c:pt idx="10">
                  <c:v>347505</c:v>
                </c:pt>
                <c:pt idx="11">
                  <c:v>381766.66666666669</c:v>
                </c:pt>
                <c:pt idx="12">
                  <c:v>419841.66666666669</c:v>
                </c:pt>
                <c:pt idx="13">
                  <c:v>462416.66666666669</c:v>
                </c:pt>
                <c:pt idx="14">
                  <c:v>509350</c:v>
                </c:pt>
                <c:pt idx="15">
                  <c:v>560065</c:v>
                </c:pt>
                <c:pt idx="16">
                  <c:v>613760</c:v>
                </c:pt>
                <c:pt idx="17">
                  <c:v>672945</c:v>
                </c:pt>
                <c:pt idx="18">
                  <c:v>725851.66666666663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5B-42D8-8067-BD1B98C7FC18}"/>
            </c:ext>
          </c:extLst>
        </c:ser>
        <c:ser>
          <c:idx val="9"/>
          <c:order val="9"/>
          <c:tx>
            <c:v>P-G''</c:v>
          </c:tx>
          <c:spPr>
            <a:ln w="19050" cap="rnd">
              <a:solidFill>
                <a:srgbClr val="CC99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9900"/>
                </a:solidFill>
              </a:ln>
              <a:effectLst/>
            </c:spPr>
          </c:marker>
          <c:xVal>
            <c:numRef>
              <c:f>'Figure 1_viscoelastic prop'!$A$4:$A$22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1_viscoelastic prop'!$K$4:$K$22</c:f>
              <c:numCache>
                <c:formatCode>0.00</c:formatCode>
                <c:ptCount val="19"/>
                <c:pt idx="0">
                  <c:v>61709.833333333336</c:v>
                </c:pt>
                <c:pt idx="1">
                  <c:v>65920.333333333328</c:v>
                </c:pt>
                <c:pt idx="2">
                  <c:v>71191.166666666672</c:v>
                </c:pt>
                <c:pt idx="3">
                  <c:v>77456.833333333328</c:v>
                </c:pt>
                <c:pt idx="4">
                  <c:v>84896.666666666672</c:v>
                </c:pt>
                <c:pt idx="5">
                  <c:v>92910</c:v>
                </c:pt>
                <c:pt idx="6">
                  <c:v>102803.83333333333</c:v>
                </c:pt>
                <c:pt idx="7">
                  <c:v>113988.16666666667</c:v>
                </c:pt>
                <c:pt idx="8">
                  <c:v>126969.83333333333</c:v>
                </c:pt>
                <c:pt idx="9">
                  <c:v>142044.5</c:v>
                </c:pt>
                <c:pt idx="10">
                  <c:v>159041.66666666666</c:v>
                </c:pt>
                <c:pt idx="11">
                  <c:v>178476.66666666666</c:v>
                </c:pt>
                <c:pt idx="12">
                  <c:v>200586.66666666666</c:v>
                </c:pt>
                <c:pt idx="13">
                  <c:v>225623.33333333334</c:v>
                </c:pt>
                <c:pt idx="14">
                  <c:v>253765</c:v>
                </c:pt>
                <c:pt idx="15">
                  <c:v>284421.66666666669</c:v>
                </c:pt>
                <c:pt idx="16">
                  <c:v>318766.66666666669</c:v>
                </c:pt>
                <c:pt idx="17">
                  <c:v>357736.66666666669</c:v>
                </c:pt>
                <c:pt idx="18">
                  <c:v>408798.33333333331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55B-42D8-8067-BD1B98C7F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059208"/>
        <c:axId val="596059536"/>
      </c:scatterChart>
      <c:valAx>
        <c:axId val="596059208"/>
        <c:scaling>
          <c:logBase val="10"/>
          <c:orientation val="minMax"/>
          <c:min val="9.9500000000000033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  <a:r>
                  <a:rPr lang="en-GB" baseline="0"/>
                  <a:t> (Hz)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59536"/>
        <c:crossesAt val="1.0000000000000004E-6"/>
        <c:crossBetween val="midCat"/>
      </c:valAx>
      <c:valAx>
        <c:axId val="596059536"/>
        <c:scaling>
          <c:logBase val="10"/>
          <c:orientation val="minMax"/>
          <c:max val="1500000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G' (Pa),</a:t>
                </a:r>
                <a:r>
                  <a:rPr lang="en-GB" baseline="0"/>
                  <a:t> G'' (Pa)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59208"/>
        <c:crossesAt val="1.0000000000000004E-5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'Figure 2_Tan Loss'!$B$1</c:f>
              <c:strCache>
                <c:ptCount val="1"/>
                <c:pt idx="0">
                  <c:v>Control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'Figure 2_Tan Loss'!$A$3:$A$21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2_Tan Loss'!$B$3:$B$21</c:f>
              <c:numCache>
                <c:formatCode>General</c:formatCode>
                <c:ptCount val="19"/>
                <c:pt idx="0">
                  <c:v>0.47591640877638303</c:v>
                </c:pt>
                <c:pt idx="1">
                  <c:v>0.44387616564012539</c:v>
                </c:pt>
                <c:pt idx="2">
                  <c:v>0.43236498491986119</c:v>
                </c:pt>
                <c:pt idx="3">
                  <c:v>0.4278190018435607</c:v>
                </c:pt>
                <c:pt idx="4">
                  <c:v>0.4287542016806723</c:v>
                </c:pt>
                <c:pt idx="5">
                  <c:v>0.43072181870409126</c:v>
                </c:pt>
                <c:pt idx="6">
                  <c:v>0.43736195092699021</c:v>
                </c:pt>
                <c:pt idx="7">
                  <c:v>0.4467169269021522</c:v>
                </c:pt>
                <c:pt idx="8">
                  <c:v>0.45947175310312521</c:v>
                </c:pt>
                <c:pt idx="9">
                  <c:v>0.47409894847678541</c:v>
                </c:pt>
                <c:pt idx="10">
                  <c:v>0.49051128889655615</c:v>
                </c:pt>
                <c:pt idx="11">
                  <c:v>0.50863815056034734</c:v>
                </c:pt>
                <c:pt idx="12">
                  <c:v>0.52859675758315727</c:v>
                </c:pt>
                <c:pt idx="13">
                  <c:v>0.54915559242537848</c:v>
                </c:pt>
                <c:pt idx="14">
                  <c:v>0.57036379362688094</c:v>
                </c:pt>
                <c:pt idx="15">
                  <c:v>0.59206290699103081</c:v>
                </c:pt>
                <c:pt idx="16">
                  <c:v>0.61388592084024829</c:v>
                </c:pt>
                <c:pt idx="17">
                  <c:v>0.63578974351785289</c:v>
                </c:pt>
                <c:pt idx="18">
                  <c:v>0.66237854198194435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E3-4147-A741-5F913AE08A18}"/>
            </c:ext>
          </c:extLst>
        </c:ser>
        <c:ser>
          <c:idx val="1"/>
          <c:order val="1"/>
          <c:tx>
            <c:strRef>
              <c:f>'Figure 2_Tan Loss'!$C$1</c:f>
              <c:strCache>
                <c:ptCount val="1"/>
                <c:pt idx="0">
                  <c:v>Fibruline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'Figure 2_Tan Loss'!$A$3:$A$21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2_Tan Loss'!$C$3:$C$21</c:f>
              <c:numCache>
                <c:formatCode>General</c:formatCode>
                <c:ptCount val="19"/>
                <c:pt idx="0">
                  <c:v>0.40501126063181647</c:v>
                </c:pt>
                <c:pt idx="1">
                  <c:v>0.3674071059128905</c:v>
                </c:pt>
                <c:pt idx="2">
                  <c:v>0.35030738607338507</c:v>
                </c:pt>
                <c:pt idx="3">
                  <c:v>0.33999960919435418</c:v>
                </c:pt>
                <c:pt idx="4">
                  <c:v>0.33372677092358871</c:v>
                </c:pt>
                <c:pt idx="5">
                  <c:v>0.3302266121066742</c:v>
                </c:pt>
                <c:pt idx="6">
                  <c:v>0.32852906881651217</c:v>
                </c:pt>
                <c:pt idx="7">
                  <c:v>0.32936122119622346</c:v>
                </c:pt>
                <c:pt idx="8">
                  <c:v>0.33066669751087263</c:v>
                </c:pt>
                <c:pt idx="9">
                  <c:v>0.33443104803171142</c:v>
                </c:pt>
                <c:pt idx="10">
                  <c:v>0.33703155437527704</c:v>
                </c:pt>
                <c:pt idx="11">
                  <c:v>0.34137991633397646</c:v>
                </c:pt>
                <c:pt idx="12">
                  <c:v>0.34590800681431011</c:v>
                </c:pt>
                <c:pt idx="13">
                  <c:v>0.35227380988577739</c:v>
                </c:pt>
                <c:pt idx="14">
                  <c:v>0.35828656275083992</c:v>
                </c:pt>
                <c:pt idx="15">
                  <c:v>0.369097524727105</c:v>
                </c:pt>
                <c:pt idx="16">
                  <c:v>0.37957108734627482</c:v>
                </c:pt>
                <c:pt idx="17">
                  <c:v>0.39643785722905445</c:v>
                </c:pt>
                <c:pt idx="18">
                  <c:v>0.44021807244015543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E3-4147-A741-5F913AE08A18}"/>
            </c:ext>
          </c:extLst>
        </c:ser>
        <c:ser>
          <c:idx val="2"/>
          <c:order val="2"/>
          <c:tx>
            <c:strRef>
              <c:f>'Figure 2_Tan Loss'!$D$1</c:f>
              <c:strCache>
                <c:ptCount val="1"/>
                <c:pt idx="0">
                  <c:v>Nutriose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xVal>
            <c:numRef>
              <c:f>'Figure 2_Tan Loss'!$A$3:$A$21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2_Tan Loss'!$D$3:$D$21</c:f>
              <c:numCache>
                <c:formatCode>General</c:formatCode>
                <c:ptCount val="19"/>
                <c:pt idx="0">
                  <c:v>0.54721088219673253</c:v>
                </c:pt>
                <c:pt idx="1">
                  <c:v>0.49316757094239894</c:v>
                </c:pt>
                <c:pt idx="2">
                  <c:v>0.47753481197859038</c:v>
                </c:pt>
                <c:pt idx="3">
                  <c:v>0.46272120071557715</c:v>
                </c:pt>
                <c:pt idx="4">
                  <c:v>0.45676311030741412</c:v>
                </c:pt>
                <c:pt idx="5">
                  <c:v>0.45366931842614489</c:v>
                </c:pt>
                <c:pt idx="6">
                  <c:v>0.45631813715551256</c:v>
                </c:pt>
                <c:pt idx="7">
                  <c:v>0.46121097981464304</c:v>
                </c:pt>
                <c:pt idx="8">
                  <c:v>0.46779341817714359</c:v>
                </c:pt>
                <c:pt idx="9">
                  <c:v>0.47570456640720721</c:v>
                </c:pt>
                <c:pt idx="10">
                  <c:v>0.48476727263104974</c:v>
                </c:pt>
                <c:pt idx="11">
                  <c:v>0.49438649688618502</c:v>
                </c:pt>
                <c:pt idx="12">
                  <c:v>0.50420938712888075</c:v>
                </c:pt>
                <c:pt idx="13">
                  <c:v>0.51390643012554937</c:v>
                </c:pt>
                <c:pt idx="14">
                  <c:v>0.5235885509966417</c:v>
                </c:pt>
                <c:pt idx="15">
                  <c:v>0.53388949512820338</c:v>
                </c:pt>
                <c:pt idx="16">
                  <c:v>0.54549775269031719</c:v>
                </c:pt>
                <c:pt idx="17">
                  <c:v>0.55995983679035233</c:v>
                </c:pt>
                <c:pt idx="18">
                  <c:v>0.58526892123557561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E3-4147-A741-5F913AE08A18}"/>
            </c:ext>
          </c:extLst>
        </c:ser>
        <c:ser>
          <c:idx val="3"/>
          <c:order val="3"/>
          <c:tx>
            <c:strRef>
              <c:f>'Figure 2_Tan Loss'!$E$1</c:f>
              <c:strCache>
                <c:ptCount val="1"/>
                <c:pt idx="0">
                  <c:v>Orafti</c:v>
                </c:pt>
              </c:strCache>
            </c:strRef>
          </c:tx>
          <c:spPr>
            <a:ln w="19050" cap="rnd">
              <a:solidFill>
                <a:srgbClr val="FF7C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C80"/>
              </a:solidFill>
              <a:ln w="9525">
                <a:solidFill>
                  <a:srgbClr val="FF7C80"/>
                </a:solidFill>
              </a:ln>
              <a:effectLst/>
            </c:spPr>
          </c:marker>
          <c:xVal>
            <c:numRef>
              <c:f>'Figure 2_Tan Loss'!$A$3:$A$21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2_Tan Loss'!$E$3:$E$21</c:f>
              <c:numCache>
                <c:formatCode>General</c:formatCode>
                <c:ptCount val="19"/>
                <c:pt idx="0">
                  <c:v>0.45882648640108775</c:v>
                </c:pt>
                <c:pt idx="1">
                  <c:v>0.414574665242952</c:v>
                </c:pt>
                <c:pt idx="2">
                  <c:v>0.39372969544551095</c:v>
                </c:pt>
                <c:pt idx="3">
                  <c:v>0.38479490830140317</c:v>
                </c:pt>
                <c:pt idx="4">
                  <c:v>0.3797584800880528</c:v>
                </c:pt>
                <c:pt idx="5">
                  <c:v>0.378040630847367</c:v>
                </c:pt>
                <c:pt idx="6">
                  <c:v>0.378599384201739</c:v>
                </c:pt>
                <c:pt idx="7">
                  <c:v>0.38054522672970492</c:v>
                </c:pt>
                <c:pt idx="8">
                  <c:v>0.38397587551231221</c:v>
                </c:pt>
                <c:pt idx="9">
                  <c:v>0.38924416451368887</c:v>
                </c:pt>
                <c:pt idx="10">
                  <c:v>0.39475891967396026</c:v>
                </c:pt>
                <c:pt idx="11">
                  <c:v>0.39926519571229591</c:v>
                </c:pt>
                <c:pt idx="12">
                  <c:v>0.40371213715772758</c:v>
                </c:pt>
                <c:pt idx="13">
                  <c:v>0.40748267293888402</c:v>
                </c:pt>
                <c:pt idx="14">
                  <c:v>0.41316795053807909</c:v>
                </c:pt>
                <c:pt idx="15">
                  <c:v>0.41772030860231468</c:v>
                </c:pt>
                <c:pt idx="16">
                  <c:v>0.42074856812181505</c:v>
                </c:pt>
                <c:pt idx="17">
                  <c:v>0.42830668801386018</c:v>
                </c:pt>
                <c:pt idx="18">
                  <c:v>0.44249617907358607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E3-4147-A741-5F913AE08A18}"/>
            </c:ext>
          </c:extLst>
        </c:ser>
        <c:ser>
          <c:idx val="4"/>
          <c:order val="4"/>
          <c:tx>
            <c:strRef>
              <c:f>'Figure 2_Tan Loss'!$F$1</c:f>
              <c:strCache>
                <c:ptCount val="1"/>
                <c:pt idx="0">
                  <c:v>Promitor</c:v>
                </c:pt>
              </c:strCache>
            </c:strRef>
          </c:tx>
          <c:spPr>
            <a:ln w="19050" cap="rnd">
              <a:solidFill>
                <a:srgbClr val="CC99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9900"/>
              </a:solidFill>
              <a:ln w="9525">
                <a:solidFill>
                  <a:srgbClr val="CC9900"/>
                </a:solidFill>
              </a:ln>
              <a:effectLst/>
            </c:spPr>
          </c:marker>
          <c:xVal>
            <c:numRef>
              <c:f>'Figure 2_Tan Loss'!$A$3:$A$21</c:f>
              <c:numCache>
                <c:formatCode>0.00</c:formatCode>
                <c:ptCount val="19"/>
                <c:pt idx="0">
                  <c:v>9.99776E-2</c:v>
                </c:pt>
                <c:pt idx="1">
                  <c:v>0.14678240000000001</c:v>
                </c:pt>
                <c:pt idx="2">
                  <c:v>0.21492000000000003</c:v>
                </c:pt>
                <c:pt idx="3">
                  <c:v>0.31680800000000003</c:v>
                </c:pt>
                <c:pt idx="4">
                  <c:v>0.464864</c:v>
                </c:pt>
                <c:pt idx="5">
                  <c:v>0.68137600000000009</c:v>
                </c:pt>
                <c:pt idx="6">
                  <c:v>0.99977600000000011</c:v>
                </c:pt>
                <c:pt idx="7">
                  <c:v>1.4678240000000002</c:v>
                </c:pt>
                <c:pt idx="8">
                  <c:v>2.1492</c:v>
                </c:pt>
                <c:pt idx="9">
                  <c:v>3.1680799999999998</c:v>
                </c:pt>
                <c:pt idx="10">
                  <c:v>4.6486400000000003</c:v>
                </c:pt>
                <c:pt idx="11">
                  <c:v>6.8137600000000003</c:v>
                </c:pt>
                <c:pt idx="12">
                  <c:v>9.9977599999999995</c:v>
                </c:pt>
                <c:pt idx="13">
                  <c:v>14.678240000000001</c:v>
                </c:pt>
                <c:pt idx="14">
                  <c:v>21.492000000000001</c:v>
                </c:pt>
                <c:pt idx="15">
                  <c:v>31.680800000000001</c:v>
                </c:pt>
                <c:pt idx="16">
                  <c:v>46.486400000000003</c:v>
                </c:pt>
                <c:pt idx="17">
                  <c:v>68.137600000000006</c:v>
                </c:pt>
                <c:pt idx="18">
                  <c:v>99.97760000000001</c:v>
                </c:pt>
              </c:numCache>
            </c:numRef>
          </c:xVal>
          <c:yVal>
            <c:numRef>
              <c:f>'Figure 2_Tan Loss'!$F$3:$F$21</c:f>
              <c:numCache>
                <c:formatCode>General</c:formatCode>
                <c:ptCount val="19"/>
                <c:pt idx="0">
                  <c:v>0.47840355993369055</c:v>
                </c:pt>
                <c:pt idx="1">
                  <c:v>0.44625191804314468</c:v>
                </c:pt>
                <c:pt idx="2">
                  <c:v>0.43150956166846827</c:v>
                </c:pt>
                <c:pt idx="3">
                  <c:v>0.42510038874914241</c:v>
                </c:pt>
                <c:pt idx="4">
                  <c:v>0.42437016795521193</c:v>
                </c:pt>
                <c:pt idx="5">
                  <c:v>0.42354711017573721</c:v>
                </c:pt>
                <c:pt idx="6">
                  <c:v>0.427408413423228</c:v>
                </c:pt>
                <c:pt idx="7">
                  <c:v>0.43252153346065803</c:v>
                </c:pt>
                <c:pt idx="8">
                  <c:v>0.43989756382051148</c:v>
                </c:pt>
                <c:pt idx="9">
                  <c:v>0.44884269621499784</c:v>
                </c:pt>
                <c:pt idx="10">
                  <c:v>0.45766727577061239</c:v>
                </c:pt>
                <c:pt idx="11">
                  <c:v>0.4675019645507727</c:v>
                </c:pt>
                <c:pt idx="12">
                  <c:v>0.47776741231813574</c:v>
                </c:pt>
                <c:pt idx="13">
                  <c:v>0.48792214813479906</c:v>
                </c:pt>
                <c:pt idx="14">
                  <c:v>0.49821340924707963</c:v>
                </c:pt>
                <c:pt idx="15">
                  <c:v>0.50783688798026427</c:v>
                </c:pt>
                <c:pt idx="16">
                  <c:v>0.51936696211331246</c:v>
                </c:pt>
                <c:pt idx="17">
                  <c:v>0.53159866952970403</c:v>
                </c:pt>
                <c:pt idx="18">
                  <c:v>0.56319817409893203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E3-4147-A741-5F913AE0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278328"/>
        <c:axId val="834284560"/>
      </c:scatterChart>
      <c:valAx>
        <c:axId val="834278328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84560"/>
        <c:crosses val="autoZero"/>
        <c:crossBetween val="midCat"/>
      </c:valAx>
      <c:valAx>
        <c:axId val="834284560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Tan </a:t>
                </a:r>
                <a:r>
                  <a:rPr lang="el-GR">
                    <a:latin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78328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1539807524059901E-4"/>
          <c:y val="0"/>
          <c:w val="0.8827023184601924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0</xdr:row>
      <xdr:rowOff>114301</xdr:rowOff>
    </xdr:from>
    <xdr:to>
      <xdr:col>22</xdr:col>
      <xdr:colOff>323850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02E01-7E6D-47CE-9043-29708E140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323849</xdr:colOff>
      <xdr:row>0</xdr:row>
      <xdr:rowOff>166687</xdr:rowOff>
    </xdr:from>
    <xdr:to>
      <xdr:col>15</xdr:col>
      <xdr:colOff>371474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8F6FFF-C582-40F7-B297-E566CA7EB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gredient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ureChoc_D&amp;B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able 1_DP"/>
    </sheetNames>
    <definedNames>
      <definedName name="xdata1" refersTo="#REF!"/>
      <definedName name="xdata11" refersTo="#REF!"/>
      <definedName name="xdata13" refersTo="#REF!"/>
      <definedName name="xdata15" refersTo="#REF!"/>
      <definedName name="xdata17" refersTo="#REF!"/>
      <definedName name="xdata19" refersTo="#REF!"/>
      <definedName name="xdata21" refersTo="#REF!"/>
      <definedName name="xdata23" refersTo="#REF!"/>
      <definedName name="xdata3" refersTo="#REF!"/>
      <definedName name="xdata5" refersTo="#REF!"/>
      <definedName name="xdata7" refersTo="#REF!"/>
      <definedName name="xdata9" refersTo="#REF!"/>
    </defined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able 1_DP"/>
      <sheetName val="Figure 1_viscoelastic prop"/>
      <sheetName val="Figure 2_Tan Loss"/>
      <sheetName val="Table 3_WL"/>
      <sheetName val="Table 3_aw"/>
      <sheetName val="Table 3_Moisture"/>
      <sheetName val="Table 4_Dimensions"/>
      <sheetName val="Figure 3_Resistance to penetrat"/>
      <sheetName val="Figure 3_Number of peaks"/>
      <sheetName val="Figure 4_Breaking strength"/>
      <sheetName val="Figure 4_Fracturability"/>
      <sheetName val="Table 5_Colour parameters"/>
      <sheetName val="Table 6_sensory profile of bisc"/>
      <sheetName val="Figure 4_PCA"/>
    </sheetNames>
    <sheetDataSet>
      <sheetData sheetId="0"/>
      <sheetData sheetId="1"/>
      <sheetData sheetId="2">
        <row r="4">
          <cell r="B4">
            <v>143795</v>
          </cell>
          <cell r="C4">
            <v>68434.399999999994</v>
          </cell>
          <cell r="D4">
            <v>193816.83333333334</v>
          </cell>
          <cell r="E4">
            <v>78498</v>
          </cell>
          <cell r="F4">
            <v>105125.83333333333</v>
          </cell>
          <cell r="G4">
            <v>57526</v>
          </cell>
          <cell r="H4">
            <v>348128.33333333331</v>
          </cell>
          <cell r="I4">
            <v>159730.5</v>
          </cell>
          <cell r="J4">
            <v>128991.16666666667</v>
          </cell>
          <cell r="K4">
            <v>61709.833333333336</v>
          </cell>
        </row>
        <row r="5">
          <cell r="B5">
            <v>164251.66666666666</v>
          </cell>
          <cell r="C5">
            <v>72907.399999999994</v>
          </cell>
          <cell r="D5">
            <v>217025.83333333334</v>
          </cell>
          <cell r="E5">
            <v>79736.833333333328</v>
          </cell>
          <cell r="F5">
            <v>124931.16666666667</v>
          </cell>
          <cell r="G5">
            <v>61612</v>
          </cell>
          <cell r="H5">
            <v>407385</v>
          </cell>
          <cell r="I5">
            <v>168891.5</v>
          </cell>
          <cell r="J5">
            <v>147720</v>
          </cell>
          <cell r="K5">
            <v>65920.333333333328</v>
          </cell>
        </row>
        <row r="6">
          <cell r="B6">
            <v>182911.66666666666</v>
          </cell>
          <cell r="C6">
            <v>79084.600000000006</v>
          </cell>
          <cell r="D6">
            <v>236537.5</v>
          </cell>
          <cell r="E6">
            <v>82860.833333333328</v>
          </cell>
          <cell r="F6">
            <v>140684.33333333334</v>
          </cell>
          <cell r="G6">
            <v>67181.666666666672</v>
          </cell>
          <cell r="H6">
            <v>451971.66666666669</v>
          </cell>
          <cell r="I6">
            <v>177954.66666666666</v>
          </cell>
          <cell r="J6">
            <v>164981.66666666666</v>
          </cell>
          <cell r="K6">
            <v>71191.166666666672</v>
          </cell>
        </row>
        <row r="7">
          <cell r="B7">
            <v>202506.66666666666</v>
          </cell>
          <cell r="C7">
            <v>86636.2</v>
          </cell>
          <cell r="D7">
            <v>255881.66666666666</v>
          </cell>
          <cell r="E7">
            <v>86999.666666666672</v>
          </cell>
          <cell r="F7">
            <v>157728.16666666666</v>
          </cell>
          <cell r="G7">
            <v>72984.166666666672</v>
          </cell>
          <cell r="H7">
            <v>492828.33333333331</v>
          </cell>
          <cell r="I7">
            <v>189637.83333333334</v>
          </cell>
          <cell r="J7">
            <v>182208.33333333334</v>
          </cell>
          <cell r="K7">
            <v>77456.833333333328</v>
          </cell>
        </row>
        <row r="8">
          <cell r="B8">
            <v>222133.33333333334</v>
          </cell>
          <cell r="C8">
            <v>95240.6</v>
          </cell>
          <cell r="D8">
            <v>275068.33333333331</v>
          </cell>
          <cell r="E8">
            <v>91797.666666666672</v>
          </cell>
          <cell r="F8">
            <v>175116.66666666666</v>
          </cell>
          <cell r="G8">
            <v>79986.833333333328</v>
          </cell>
          <cell r="H8">
            <v>533013.33333333337</v>
          </cell>
          <cell r="I8">
            <v>202416.33333333334</v>
          </cell>
          <cell r="J8">
            <v>200053.33333333334</v>
          </cell>
          <cell r="K8">
            <v>84896.666666666672</v>
          </cell>
        </row>
        <row r="9">
          <cell r="B9">
            <v>243690</v>
          </cell>
          <cell r="C9">
            <v>104962.6</v>
          </cell>
          <cell r="D9">
            <v>295291.66666666669</v>
          </cell>
          <cell r="E9">
            <v>97513.166666666672</v>
          </cell>
          <cell r="F9">
            <v>193791.66666666666</v>
          </cell>
          <cell r="G9">
            <v>87917.333333333328</v>
          </cell>
          <cell r="H9">
            <v>573620</v>
          </cell>
          <cell r="I9">
            <v>216851.66666666666</v>
          </cell>
          <cell r="J9">
            <v>219361.66666666666</v>
          </cell>
          <cell r="K9">
            <v>92910</v>
          </cell>
        </row>
        <row r="10">
          <cell r="B10">
            <v>266813.33333333331</v>
          </cell>
          <cell r="C10">
            <v>116694</v>
          </cell>
          <cell r="D10">
            <v>315888.33333333331</v>
          </cell>
          <cell r="E10">
            <v>103778.5</v>
          </cell>
          <cell r="F10">
            <v>213723.33333333334</v>
          </cell>
          <cell r="G10">
            <v>97525.833333333328</v>
          </cell>
          <cell r="H10">
            <v>614920</v>
          </cell>
          <cell r="I10">
            <v>232808.33333333334</v>
          </cell>
          <cell r="J10">
            <v>240528.33333333334</v>
          </cell>
          <cell r="K10">
            <v>102803.83333333333</v>
          </cell>
        </row>
        <row r="11">
          <cell r="B11">
            <v>292256.66666666669</v>
          </cell>
          <cell r="C11">
            <v>130556</v>
          </cell>
          <cell r="D11">
            <v>337701.66666666669</v>
          </cell>
          <cell r="E11">
            <v>111225.83333333333</v>
          </cell>
          <cell r="F11">
            <v>235401.66666666666</v>
          </cell>
          <cell r="G11">
            <v>108569.83333333333</v>
          </cell>
          <cell r="H11">
            <v>657096.66666666663</v>
          </cell>
          <cell r="I11">
            <v>250055</v>
          </cell>
          <cell r="J11">
            <v>263543.33333333331</v>
          </cell>
          <cell r="K11">
            <v>113988.16666666667</v>
          </cell>
        </row>
        <row r="12">
          <cell r="B12">
            <v>320241.66666666669</v>
          </cell>
          <cell r="C12">
            <v>147142</v>
          </cell>
          <cell r="D12">
            <v>360233.33333333331</v>
          </cell>
          <cell r="E12">
            <v>119117.16666666667</v>
          </cell>
          <cell r="F12">
            <v>259300</v>
          </cell>
          <cell r="G12">
            <v>121298.83333333333</v>
          </cell>
          <cell r="H12">
            <v>700256.66666666663</v>
          </cell>
          <cell r="I12">
            <v>268881.66666666669</v>
          </cell>
          <cell r="J12">
            <v>288635</v>
          </cell>
          <cell r="K12">
            <v>126969.83333333333</v>
          </cell>
        </row>
        <row r="13">
          <cell r="B13">
            <v>351395</v>
          </cell>
          <cell r="C13">
            <v>166596</v>
          </cell>
          <cell r="D13">
            <v>383878.33333333331</v>
          </cell>
          <cell r="E13">
            <v>128380.83333333333</v>
          </cell>
          <cell r="F13">
            <v>285636.66666666669</v>
          </cell>
          <cell r="G13">
            <v>135878.66666666666</v>
          </cell>
          <cell r="H13">
            <v>742511.66666666663</v>
          </cell>
          <cell r="I13">
            <v>289018.33333333331</v>
          </cell>
          <cell r="J13">
            <v>316468.33333333331</v>
          </cell>
          <cell r="K13">
            <v>142044.5</v>
          </cell>
        </row>
        <row r="14">
          <cell r="B14">
            <v>386441.66666666669</v>
          </cell>
          <cell r="C14">
            <v>189554</v>
          </cell>
          <cell r="D14">
            <v>409821.66666666669</v>
          </cell>
          <cell r="E14">
            <v>138122.83333333334</v>
          </cell>
          <cell r="F14">
            <v>314925</v>
          </cell>
          <cell r="G14">
            <v>152665.33333333334</v>
          </cell>
          <cell r="H14">
            <v>782726.66666666663</v>
          </cell>
          <cell r="I14">
            <v>308988.33333333331</v>
          </cell>
          <cell r="J14">
            <v>347505</v>
          </cell>
          <cell r="K14">
            <v>159041.66666666666</v>
          </cell>
        </row>
        <row r="15">
          <cell r="B15">
            <v>426075</v>
          </cell>
          <cell r="C15">
            <v>216718</v>
          </cell>
          <cell r="D15">
            <v>436258.33333333331</v>
          </cell>
          <cell r="E15">
            <v>148929.83333333334</v>
          </cell>
          <cell r="F15">
            <v>347376.66666666669</v>
          </cell>
          <cell r="G15">
            <v>171738.33333333334</v>
          </cell>
          <cell r="H15">
            <v>825616.66666666663</v>
          </cell>
          <cell r="I15">
            <v>329640</v>
          </cell>
          <cell r="J15">
            <v>381766.66666666669</v>
          </cell>
          <cell r="K15">
            <v>178476.66666666666</v>
          </cell>
        </row>
        <row r="16">
          <cell r="B16">
            <v>470945</v>
          </cell>
          <cell r="C16">
            <v>248940</v>
          </cell>
          <cell r="D16">
            <v>464708.33333333331</v>
          </cell>
          <cell r="E16">
            <v>160746.33333333334</v>
          </cell>
          <cell r="F16">
            <v>383468.33333333331</v>
          </cell>
          <cell r="G16">
            <v>193348.33333333334</v>
          </cell>
          <cell r="H16">
            <v>871016.66666666663</v>
          </cell>
          <cell r="I16">
            <v>351640</v>
          </cell>
          <cell r="J16">
            <v>419841.66666666669</v>
          </cell>
          <cell r="K16">
            <v>200586.66666666666</v>
          </cell>
        </row>
        <row r="17">
          <cell r="B17">
            <v>522358.33333333331</v>
          </cell>
          <cell r="C17">
            <v>286856</v>
          </cell>
          <cell r="D17">
            <v>493335</v>
          </cell>
          <cell r="E17">
            <v>173789</v>
          </cell>
          <cell r="F17">
            <v>423605</v>
          </cell>
          <cell r="G17">
            <v>217693.33333333334</v>
          </cell>
          <cell r="H17">
            <v>916918.33333333337</v>
          </cell>
          <cell r="I17">
            <v>373628.33333333331</v>
          </cell>
          <cell r="J17">
            <v>462416.66666666669</v>
          </cell>
          <cell r="K17">
            <v>225623.33333333334</v>
          </cell>
        </row>
        <row r="18">
          <cell r="B18">
            <v>581923.33333333337</v>
          </cell>
          <cell r="C18">
            <v>331908</v>
          </cell>
          <cell r="D18">
            <v>525318.33333333337</v>
          </cell>
          <cell r="E18">
            <v>188214.5</v>
          </cell>
          <cell r="F18">
            <v>467988.33333333331</v>
          </cell>
          <cell r="G18">
            <v>245033.33333333334</v>
          </cell>
          <cell r="H18">
            <v>959121.66666666663</v>
          </cell>
          <cell r="I18">
            <v>396278.33333333331</v>
          </cell>
          <cell r="J18">
            <v>509350</v>
          </cell>
          <cell r="K18">
            <v>253765</v>
          </cell>
        </row>
        <row r="19">
          <cell r="B19">
            <v>651120</v>
          </cell>
          <cell r="C19">
            <v>385504</v>
          </cell>
          <cell r="D19">
            <v>552868.33333333337</v>
          </cell>
          <cell r="E19">
            <v>204062.33333333334</v>
          </cell>
          <cell r="F19">
            <v>516236.66666666669</v>
          </cell>
          <cell r="G19">
            <v>275613.33333333331</v>
          </cell>
          <cell r="H19">
            <v>993511.66666666663</v>
          </cell>
          <cell r="I19">
            <v>415010</v>
          </cell>
          <cell r="J19">
            <v>560065</v>
          </cell>
          <cell r="K19">
            <v>284421.66666666669</v>
          </cell>
        </row>
        <row r="20">
          <cell r="B20">
            <v>733116.66666666663</v>
          </cell>
          <cell r="C20">
            <v>450050</v>
          </cell>
          <cell r="D20">
            <v>581936.66666666663</v>
          </cell>
          <cell r="E20">
            <v>220886.33333333334</v>
          </cell>
          <cell r="F20">
            <v>568086.66666666663</v>
          </cell>
          <cell r="G20">
            <v>309890</v>
          </cell>
          <cell r="H20">
            <v>1039718.3333333334</v>
          </cell>
          <cell r="I20">
            <v>437460</v>
          </cell>
          <cell r="J20">
            <v>613760</v>
          </cell>
          <cell r="K20">
            <v>318766.66666666669</v>
          </cell>
        </row>
        <row r="21">
          <cell r="B21">
            <v>832221.66666666663</v>
          </cell>
          <cell r="C21">
            <v>529118</v>
          </cell>
          <cell r="D21">
            <v>607686.66666666663</v>
          </cell>
          <cell r="E21">
            <v>240910</v>
          </cell>
          <cell r="F21">
            <v>625780</v>
          </cell>
          <cell r="G21">
            <v>350411.66666666669</v>
          </cell>
          <cell r="H21">
            <v>1077425</v>
          </cell>
          <cell r="I21">
            <v>461468.33333333331</v>
          </cell>
          <cell r="J21">
            <v>672945</v>
          </cell>
          <cell r="K21">
            <v>357736.66666666669</v>
          </cell>
        </row>
        <row r="22">
          <cell r="B22">
            <v>958150</v>
          </cell>
          <cell r="C22">
            <v>634658</v>
          </cell>
          <cell r="D22">
            <v>611723.33333333337</v>
          </cell>
          <cell r="E22">
            <v>269291.66666666669</v>
          </cell>
          <cell r="F22">
            <v>687345</v>
          </cell>
          <cell r="G22">
            <v>402281.66666666669</v>
          </cell>
          <cell r="H22">
            <v>1114476.6666666667</v>
          </cell>
          <cell r="I22">
            <v>493151.66666666669</v>
          </cell>
          <cell r="J22">
            <v>725851.66666666663</v>
          </cell>
          <cell r="K22">
            <v>408798.33333333331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53D5-29DE-4335-80AD-0CCC669093F5}">
  <dimension ref="A1:C22"/>
  <sheetViews>
    <sheetView workbookViewId="0">
      <selection activeCell="B11" sqref="B11"/>
    </sheetView>
  </sheetViews>
  <sheetFormatPr defaultRowHeight="15" x14ac:dyDescent="0.25"/>
  <cols>
    <col min="1" max="1" width="28.28515625" bestFit="1" customWidth="1"/>
    <col min="2" max="2" width="53" customWidth="1"/>
    <col min="3" max="3" width="5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4.5" customHeight="1" x14ac:dyDescent="0.25">
      <c r="A2" s="2" t="s">
        <v>3</v>
      </c>
      <c r="B2" s="3" t="s">
        <v>4</v>
      </c>
      <c r="C2" s="2" t="s">
        <v>5</v>
      </c>
    </row>
    <row r="3" spans="1:3" ht="34.5" customHeight="1" x14ac:dyDescent="0.25">
      <c r="A3" s="2" t="s">
        <v>6</v>
      </c>
      <c r="B3" s="2" t="s">
        <v>7</v>
      </c>
      <c r="C3" s="2" t="s">
        <v>5</v>
      </c>
    </row>
    <row r="5" spans="1:3" x14ac:dyDescent="0.25">
      <c r="A5" s="1" t="s">
        <v>8</v>
      </c>
      <c r="B5" s="1" t="s">
        <v>9</v>
      </c>
      <c r="C5" s="1" t="s">
        <v>10</v>
      </c>
    </row>
    <row r="6" spans="1:3" ht="46.5" customHeight="1" x14ac:dyDescent="0.25">
      <c r="A6" t="s">
        <v>11</v>
      </c>
      <c r="B6" t="s">
        <v>12</v>
      </c>
    </row>
    <row r="7" spans="1:3" ht="46.5" customHeight="1" x14ac:dyDescent="0.25">
      <c r="A7" t="s">
        <v>13</v>
      </c>
      <c r="B7" t="s">
        <v>14</v>
      </c>
    </row>
    <row r="8" spans="1:3" ht="46.5" customHeight="1" x14ac:dyDescent="0.25">
      <c r="A8" t="s">
        <v>15</v>
      </c>
      <c r="B8" t="s">
        <v>16</v>
      </c>
      <c r="C8" s="4"/>
    </row>
    <row r="9" spans="1:3" ht="46.5" customHeight="1" x14ac:dyDescent="0.25">
      <c r="A9" t="s">
        <v>17</v>
      </c>
      <c r="B9" t="s">
        <v>18</v>
      </c>
      <c r="C9" s="4"/>
    </row>
    <row r="10" spans="1:3" ht="46.5" customHeight="1" x14ac:dyDescent="0.25">
      <c r="A10" t="s">
        <v>19</v>
      </c>
      <c r="B10" t="s">
        <v>20</v>
      </c>
      <c r="C10" s="4"/>
    </row>
    <row r="11" spans="1:3" ht="46.5" customHeight="1" x14ac:dyDescent="0.25">
      <c r="A11" t="s">
        <v>21</v>
      </c>
      <c r="B11" s="5" t="s">
        <v>54</v>
      </c>
      <c r="C11" s="4" t="s">
        <v>3</v>
      </c>
    </row>
    <row r="12" spans="1:3" ht="46.5" customHeight="1" x14ac:dyDescent="0.25">
      <c r="A12" t="s">
        <v>22</v>
      </c>
      <c r="B12" s="5" t="s">
        <v>23</v>
      </c>
      <c r="C12" s="4" t="s">
        <v>3</v>
      </c>
    </row>
    <row r="13" spans="1:3" ht="46.5" customHeight="1" x14ac:dyDescent="0.25">
      <c r="A13" t="s">
        <v>24</v>
      </c>
      <c r="B13" s="5" t="s">
        <v>25</v>
      </c>
      <c r="C13" s="4" t="s">
        <v>3</v>
      </c>
    </row>
    <row r="14" spans="1:3" s="5" customFormat="1" ht="46.5" customHeight="1" x14ac:dyDescent="0.25">
      <c r="A14" s="5" t="s">
        <v>26</v>
      </c>
      <c r="B14" s="5" t="s">
        <v>27</v>
      </c>
      <c r="C14" s="6" t="s">
        <v>6</v>
      </c>
    </row>
    <row r="15" spans="1:3" x14ac:dyDescent="0.25">
      <c r="A15" s="7"/>
      <c r="B15" s="7"/>
      <c r="C15" s="7"/>
    </row>
    <row r="19" spans="1:3" x14ac:dyDescent="0.25">
      <c r="A19" s="7"/>
      <c r="B19" s="7"/>
      <c r="C19" s="7"/>
    </row>
    <row r="20" spans="1:3" x14ac:dyDescent="0.25">
      <c r="A20" s="7"/>
      <c r="B20" s="7"/>
      <c r="C20" s="8"/>
    </row>
    <row r="21" spans="1:3" x14ac:dyDescent="0.25">
      <c r="A21" s="7"/>
      <c r="B21" s="7"/>
      <c r="C21" s="7"/>
    </row>
    <row r="22" spans="1:3" x14ac:dyDescent="0.25">
      <c r="A22" s="7"/>
      <c r="B22" s="7"/>
      <c r="C22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FCFD-6D47-4B67-B9B2-97AB0B9D8F68}">
  <dimension ref="A1:AA143"/>
  <sheetViews>
    <sheetView tabSelected="1" workbookViewId="0">
      <selection sqref="A1:XFD1"/>
    </sheetView>
  </sheetViews>
  <sheetFormatPr defaultRowHeight="15" x14ac:dyDescent="0.25"/>
  <cols>
    <col min="1" max="1" width="17.85546875" bestFit="1" customWidth="1"/>
    <col min="2" max="2" width="16" bestFit="1" customWidth="1"/>
    <col min="3" max="3" width="12.85546875" bestFit="1" customWidth="1"/>
    <col min="4" max="4" width="16" bestFit="1" customWidth="1"/>
    <col min="5" max="5" width="12.85546875" bestFit="1" customWidth="1"/>
    <col min="6" max="6" width="16" bestFit="1" customWidth="1"/>
    <col min="7" max="7" width="12.85546875" bestFit="1" customWidth="1"/>
    <col min="8" max="8" width="16" bestFit="1" customWidth="1"/>
    <col min="9" max="9" width="12.85546875" bestFit="1" customWidth="1"/>
    <col min="10" max="10" width="16" bestFit="1" customWidth="1"/>
    <col min="11" max="11" width="12.85546875" bestFit="1" customWidth="1"/>
  </cols>
  <sheetData>
    <row r="1" spans="1:11" ht="15.75" thickBot="1" x14ac:dyDescent="0.3">
      <c r="A1" s="9" t="s">
        <v>28</v>
      </c>
      <c r="B1" s="41" t="s">
        <v>29</v>
      </c>
      <c r="C1" s="42"/>
      <c r="D1" s="41" t="s">
        <v>19</v>
      </c>
      <c r="E1" s="42"/>
      <c r="F1" s="41" t="s">
        <v>13</v>
      </c>
      <c r="G1" s="42"/>
      <c r="H1" s="41" t="s">
        <v>17</v>
      </c>
      <c r="I1" s="42"/>
      <c r="J1" s="41" t="s">
        <v>15</v>
      </c>
      <c r="K1" s="42"/>
    </row>
    <row r="2" spans="1:11" x14ac:dyDescent="0.25">
      <c r="A2" s="10" t="s">
        <v>21</v>
      </c>
      <c r="B2" s="11" t="s">
        <v>30</v>
      </c>
      <c r="C2" s="12" t="s">
        <v>31</v>
      </c>
      <c r="D2" s="11" t="s">
        <v>30</v>
      </c>
      <c r="E2" s="11" t="s">
        <v>31</v>
      </c>
      <c r="F2" s="13" t="s">
        <v>30</v>
      </c>
      <c r="G2" s="12" t="s">
        <v>31</v>
      </c>
      <c r="H2" s="11" t="s">
        <v>30</v>
      </c>
      <c r="I2" s="11" t="s">
        <v>31</v>
      </c>
      <c r="J2" s="13" t="s">
        <v>30</v>
      </c>
      <c r="K2" s="12" t="s">
        <v>31</v>
      </c>
    </row>
    <row r="3" spans="1:11" ht="15.75" thickBot="1" x14ac:dyDescent="0.3">
      <c r="A3" s="14" t="s">
        <v>32</v>
      </c>
      <c r="B3" s="15" t="s">
        <v>33</v>
      </c>
      <c r="C3" s="16" t="s">
        <v>33</v>
      </c>
      <c r="D3" s="15" t="s">
        <v>33</v>
      </c>
      <c r="E3" s="15" t="s">
        <v>33</v>
      </c>
      <c r="F3" s="17" t="s">
        <v>33</v>
      </c>
      <c r="G3" s="16" t="s">
        <v>33</v>
      </c>
      <c r="H3" s="18" t="s">
        <v>33</v>
      </c>
      <c r="I3" s="18" t="s">
        <v>33</v>
      </c>
      <c r="J3" s="17" t="s">
        <v>33</v>
      </c>
      <c r="K3" s="16" t="s">
        <v>33</v>
      </c>
    </row>
    <row r="4" spans="1:11" x14ac:dyDescent="0.25">
      <c r="A4" s="19">
        <v>9.99776E-2</v>
      </c>
      <c r="B4" s="19">
        <v>143795</v>
      </c>
      <c r="C4" s="20">
        <v>68434.399999999994</v>
      </c>
      <c r="D4" s="21">
        <v>193816.83333333334</v>
      </c>
      <c r="E4" s="21">
        <v>78498</v>
      </c>
      <c r="F4" s="19">
        <v>105125.83333333333</v>
      </c>
      <c r="G4" s="20">
        <v>57526</v>
      </c>
      <c r="H4" s="21">
        <v>348128.33333333331</v>
      </c>
      <c r="I4" s="21">
        <v>159730.5</v>
      </c>
      <c r="J4" s="19">
        <v>128991.16666666667</v>
      </c>
      <c r="K4" s="20">
        <v>61709.833333333336</v>
      </c>
    </row>
    <row r="5" spans="1:11" x14ac:dyDescent="0.25">
      <c r="A5" s="19">
        <v>0.14678240000000001</v>
      </c>
      <c r="B5" s="19">
        <v>164251.66666666666</v>
      </c>
      <c r="C5" s="20">
        <v>72907.399999999994</v>
      </c>
      <c r="D5" s="21">
        <v>217025.83333333334</v>
      </c>
      <c r="E5" s="21">
        <v>79736.833333333328</v>
      </c>
      <c r="F5" s="19">
        <v>124931.16666666667</v>
      </c>
      <c r="G5" s="20">
        <v>61612</v>
      </c>
      <c r="H5" s="21">
        <v>407385</v>
      </c>
      <c r="I5" s="21">
        <v>168891.5</v>
      </c>
      <c r="J5" s="19">
        <v>147720</v>
      </c>
      <c r="K5" s="20">
        <v>65920.333333333328</v>
      </c>
    </row>
    <row r="6" spans="1:11" x14ac:dyDescent="0.25">
      <c r="A6" s="19">
        <v>0.21492000000000003</v>
      </c>
      <c r="B6" s="19">
        <v>182911.66666666666</v>
      </c>
      <c r="C6" s="20">
        <v>79084.600000000006</v>
      </c>
      <c r="D6" s="21">
        <v>236537.5</v>
      </c>
      <c r="E6" s="21">
        <v>82860.833333333328</v>
      </c>
      <c r="F6" s="19">
        <v>140684.33333333334</v>
      </c>
      <c r="G6" s="20">
        <v>67181.666666666672</v>
      </c>
      <c r="H6" s="21">
        <v>451971.66666666669</v>
      </c>
      <c r="I6" s="21">
        <v>177954.66666666666</v>
      </c>
      <c r="J6" s="19">
        <v>164981.66666666666</v>
      </c>
      <c r="K6" s="20">
        <v>71191.166666666672</v>
      </c>
    </row>
    <row r="7" spans="1:11" x14ac:dyDescent="0.25">
      <c r="A7" s="19">
        <v>0.31680800000000003</v>
      </c>
      <c r="B7" s="19">
        <v>202506.66666666666</v>
      </c>
      <c r="C7" s="20">
        <v>86636.2</v>
      </c>
      <c r="D7" s="21">
        <v>255881.66666666666</v>
      </c>
      <c r="E7" s="21">
        <v>86999.666666666672</v>
      </c>
      <c r="F7" s="19">
        <v>157728.16666666666</v>
      </c>
      <c r="G7" s="20">
        <v>72984.166666666672</v>
      </c>
      <c r="H7" s="21">
        <v>492828.33333333331</v>
      </c>
      <c r="I7" s="21">
        <v>189637.83333333334</v>
      </c>
      <c r="J7" s="19">
        <v>182208.33333333334</v>
      </c>
      <c r="K7" s="20">
        <v>77456.833333333328</v>
      </c>
    </row>
    <row r="8" spans="1:11" x14ac:dyDescent="0.25">
      <c r="A8" s="19">
        <v>0.464864</v>
      </c>
      <c r="B8" s="19">
        <v>222133.33333333334</v>
      </c>
      <c r="C8" s="20">
        <v>95240.6</v>
      </c>
      <c r="D8" s="21">
        <v>275068.33333333331</v>
      </c>
      <c r="E8" s="21">
        <v>91797.666666666672</v>
      </c>
      <c r="F8" s="19">
        <v>175116.66666666666</v>
      </c>
      <c r="G8" s="20">
        <v>79986.833333333328</v>
      </c>
      <c r="H8" s="21">
        <v>533013.33333333337</v>
      </c>
      <c r="I8" s="21">
        <v>202416.33333333334</v>
      </c>
      <c r="J8" s="19">
        <v>200053.33333333334</v>
      </c>
      <c r="K8" s="20">
        <v>84896.666666666672</v>
      </c>
    </row>
    <row r="9" spans="1:11" x14ac:dyDescent="0.25">
      <c r="A9" s="19">
        <v>0.68137600000000009</v>
      </c>
      <c r="B9" s="19">
        <v>243690</v>
      </c>
      <c r="C9" s="20">
        <v>104962.6</v>
      </c>
      <c r="D9" s="21">
        <v>295291.66666666669</v>
      </c>
      <c r="E9" s="21">
        <v>97513.166666666672</v>
      </c>
      <c r="F9" s="19">
        <v>193791.66666666666</v>
      </c>
      <c r="G9" s="20">
        <v>87917.333333333328</v>
      </c>
      <c r="H9" s="21">
        <v>573620</v>
      </c>
      <c r="I9" s="21">
        <v>216851.66666666666</v>
      </c>
      <c r="J9" s="19">
        <v>219361.66666666666</v>
      </c>
      <c r="K9" s="20">
        <v>92910</v>
      </c>
    </row>
    <row r="10" spans="1:11" x14ac:dyDescent="0.25">
      <c r="A10" s="19">
        <v>0.99977600000000011</v>
      </c>
      <c r="B10" s="19">
        <v>266813.33333333331</v>
      </c>
      <c r="C10" s="20">
        <v>116694</v>
      </c>
      <c r="D10" s="21">
        <v>315888.33333333331</v>
      </c>
      <c r="E10" s="21">
        <v>103778.5</v>
      </c>
      <c r="F10" s="19">
        <v>213723.33333333334</v>
      </c>
      <c r="G10" s="20">
        <v>97525.833333333328</v>
      </c>
      <c r="H10" s="21">
        <v>614920</v>
      </c>
      <c r="I10" s="21">
        <v>232808.33333333334</v>
      </c>
      <c r="J10" s="19">
        <v>240528.33333333334</v>
      </c>
      <c r="K10" s="20">
        <v>102803.83333333333</v>
      </c>
    </row>
    <row r="11" spans="1:11" x14ac:dyDescent="0.25">
      <c r="A11" s="19">
        <v>1.4678240000000002</v>
      </c>
      <c r="B11" s="19">
        <v>292256.66666666669</v>
      </c>
      <c r="C11" s="20">
        <v>130556</v>
      </c>
      <c r="D11" s="21">
        <v>337701.66666666669</v>
      </c>
      <c r="E11" s="21">
        <v>111225.83333333333</v>
      </c>
      <c r="F11" s="19">
        <v>235401.66666666666</v>
      </c>
      <c r="G11" s="20">
        <v>108569.83333333333</v>
      </c>
      <c r="H11" s="21">
        <v>657096.66666666663</v>
      </c>
      <c r="I11" s="21">
        <v>250055</v>
      </c>
      <c r="J11" s="19">
        <v>263543.33333333331</v>
      </c>
      <c r="K11" s="20">
        <v>113988.16666666667</v>
      </c>
    </row>
    <row r="12" spans="1:11" x14ac:dyDescent="0.25">
      <c r="A12" s="19">
        <v>2.1492</v>
      </c>
      <c r="B12" s="19">
        <v>320241.66666666669</v>
      </c>
      <c r="C12" s="20">
        <v>147142</v>
      </c>
      <c r="D12" s="21">
        <v>360233.33333333331</v>
      </c>
      <c r="E12" s="21">
        <v>119117.16666666667</v>
      </c>
      <c r="F12" s="19">
        <v>259300</v>
      </c>
      <c r="G12" s="20">
        <v>121298.83333333333</v>
      </c>
      <c r="H12" s="21">
        <v>700256.66666666663</v>
      </c>
      <c r="I12" s="21">
        <v>268881.66666666669</v>
      </c>
      <c r="J12" s="19">
        <v>288635</v>
      </c>
      <c r="K12" s="20">
        <v>126969.83333333333</v>
      </c>
    </row>
    <row r="13" spans="1:11" x14ac:dyDescent="0.25">
      <c r="A13" s="19">
        <v>3.1680799999999998</v>
      </c>
      <c r="B13" s="19">
        <v>351395</v>
      </c>
      <c r="C13" s="20">
        <v>166596</v>
      </c>
      <c r="D13" s="21">
        <v>383878.33333333331</v>
      </c>
      <c r="E13" s="21">
        <v>128380.83333333333</v>
      </c>
      <c r="F13" s="19">
        <v>285636.66666666669</v>
      </c>
      <c r="G13" s="20">
        <v>135878.66666666666</v>
      </c>
      <c r="H13" s="21">
        <v>742511.66666666663</v>
      </c>
      <c r="I13" s="21">
        <v>289018.33333333331</v>
      </c>
      <c r="J13" s="19">
        <v>316468.33333333331</v>
      </c>
      <c r="K13" s="20">
        <v>142044.5</v>
      </c>
    </row>
    <row r="14" spans="1:11" x14ac:dyDescent="0.25">
      <c r="A14" s="19">
        <v>4.6486400000000003</v>
      </c>
      <c r="B14" s="19">
        <v>386441.66666666669</v>
      </c>
      <c r="C14" s="20">
        <v>189554</v>
      </c>
      <c r="D14" s="21">
        <v>409821.66666666669</v>
      </c>
      <c r="E14" s="21">
        <v>138122.83333333334</v>
      </c>
      <c r="F14" s="19">
        <v>314925</v>
      </c>
      <c r="G14" s="20">
        <v>152665.33333333334</v>
      </c>
      <c r="H14" s="21">
        <v>782726.66666666663</v>
      </c>
      <c r="I14" s="21">
        <v>308988.33333333331</v>
      </c>
      <c r="J14" s="19">
        <v>347505</v>
      </c>
      <c r="K14" s="20">
        <v>159041.66666666666</v>
      </c>
    </row>
    <row r="15" spans="1:11" x14ac:dyDescent="0.25">
      <c r="A15" s="19">
        <v>6.8137600000000003</v>
      </c>
      <c r="B15" s="19">
        <v>426075</v>
      </c>
      <c r="C15" s="20">
        <v>216718</v>
      </c>
      <c r="D15" s="21">
        <v>436258.33333333331</v>
      </c>
      <c r="E15" s="21">
        <v>148929.83333333334</v>
      </c>
      <c r="F15" s="19">
        <v>347376.66666666669</v>
      </c>
      <c r="G15" s="20">
        <v>171738.33333333334</v>
      </c>
      <c r="H15" s="21">
        <v>825616.66666666663</v>
      </c>
      <c r="I15" s="21">
        <v>329640</v>
      </c>
      <c r="J15" s="19">
        <v>381766.66666666669</v>
      </c>
      <c r="K15" s="20">
        <v>178476.66666666666</v>
      </c>
    </row>
    <row r="16" spans="1:11" x14ac:dyDescent="0.25">
      <c r="A16" s="19">
        <v>9.9977599999999995</v>
      </c>
      <c r="B16" s="19">
        <v>470945</v>
      </c>
      <c r="C16" s="20">
        <v>248940</v>
      </c>
      <c r="D16" s="21">
        <v>464708.33333333331</v>
      </c>
      <c r="E16" s="21">
        <v>160746.33333333334</v>
      </c>
      <c r="F16" s="19">
        <v>383468.33333333331</v>
      </c>
      <c r="G16" s="20">
        <v>193348.33333333334</v>
      </c>
      <c r="H16" s="21">
        <v>871016.66666666663</v>
      </c>
      <c r="I16" s="21">
        <v>351640</v>
      </c>
      <c r="J16" s="19">
        <v>419841.66666666669</v>
      </c>
      <c r="K16" s="20">
        <v>200586.66666666666</v>
      </c>
    </row>
    <row r="17" spans="1:23" x14ac:dyDescent="0.25">
      <c r="A17" s="19">
        <v>14.678240000000001</v>
      </c>
      <c r="B17" s="19">
        <v>522358.33333333331</v>
      </c>
      <c r="C17" s="20">
        <v>286856</v>
      </c>
      <c r="D17" s="21">
        <v>493335</v>
      </c>
      <c r="E17" s="21">
        <v>173789</v>
      </c>
      <c r="F17" s="19">
        <v>423605</v>
      </c>
      <c r="G17" s="20">
        <v>217693.33333333334</v>
      </c>
      <c r="H17" s="21">
        <v>916918.33333333337</v>
      </c>
      <c r="I17" s="21">
        <v>373628.33333333331</v>
      </c>
      <c r="J17" s="19">
        <v>462416.66666666669</v>
      </c>
      <c r="K17" s="20">
        <v>225623.33333333334</v>
      </c>
    </row>
    <row r="18" spans="1:23" x14ac:dyDescent="0.25">
      <c r="A18" s="19">
        <v>21.492000000000001</v>
      </c>
      <c r="B18" s="19">
        <v>581923.33333333337</v>
      </c>
      <c r="C18" s="20">
        <v>331908</v>
      </c>
      <c r="D18" s="21">
        <v>525318.33333333337</v>
      </c>
      <c r="E18" s="21">
        <v>188214.5</v>
      </c>
      <c r="F18" s="19">
        <v>467988.33333333331</v>
      </c>
      <c r="G18" s="20">
        <v>245033.33333333334</v>
      </c>
      <c r="H18" s="21">
        <v>959121.66666666663</v>
      </c>
      <c r="I18" s="21">
        <v>396278.33333333331</v>
      </c>
      <c r="J18" s="19">
        <v>509350</v>
      </c>
      <c r="K18" s="20">
        <v>253765</v>
      </c>
    </row>
    <row r="19" spans="1:23" x14ac:dyDescent="0.25">
      <c r="A19" s="19">
        <v>31.680800000000001</v>
      </c>
      <c r="B19" s="19">
        <v>651120</v>
      </c>
      <c r="C19" s="20">
        <v>385504</v>
      </c>
      <c r="D19" s="21">
        <v>552868.33333333337</v>
      </c>
      <c r="E19" s="21">
        <v>204062.33333333334</v>
      </c>
      <c r="F19" s="19">
        <v>516236.66666666669</v>
      </c>
      <c r="G19" s="20">
        <v>275613.33333333331</v>
      </c>
      <c r="H19" s="21">
        <v>993511.66666666663</v>
      </c>
      <c r="I19" s="21">
        <v>415010</v>
      </c>
      <c r="J19" s="19">
        <v>560065</v>
      </c>
      <c r="K19" s="20">
        <v>284421.66666666669</v>
      </c>
    </row>
    <row r="20" spans="1:23" x14ac:dyDescent="0.25">
      <c r="A20" s="19">
        <v>46.486400000000003</v>
      </c>
      <c r="B20" s="19">
        <v>733116.66666666663</v>
      </c>
      <c r="C20" s="20">
        <v>450050</v>
      </c>
      <c r="D20" s="21">
        <v>581936.66666666663</v>
      </c>
      <c r="E20" s="21">
        <v>220886.33333333334</v>
      </c>
      <c r="F20" s="19">
        <v>568086.66666666663</v>
      </c>
      <c r="G20" s="20">
        <v>309890</v>
      </c>
      <c r="H20" s="21">
        <v>1039718.3333333334</v>
      </c>
      <c r="I20" s="21">
        <v>437460</v>
      </c>
      <c r="J20" s="19">
        <v>613760</v>
      </c>
      <c r="K20" s="20">
        <v>318766.66666666669</v>
      </c>
    </row>
    <row r="21" spans="1:23" x14ac:dyDescent="0.25">
      <c r="A21" s="19">
        <v>68.137600000000006</v>
      </c>
      <c r="B21" s="19">
        <v>832221.66666666663</v>
      </c>
      <c r="C21" s="20">
        <v>529118</v>
      </c>
      <c r="D21" s="21">
        <v>607686.66666666663</v>
      </c>
      <c r="E21" s="21">
        <v>240910</v>
      </c>
      <c r="F21" s="19">
        <v>625780</v>
      </c>
      <c r="G21" s="20">
        <v>350411.66666666669</v>
      </c>
      <c r="H21" s="21">
        <v>1077425</v>
      </c>
      <c r="I21" s="21">
        <v>461468.33333333331</v>
      </c>
      <c r="J21" s="19">
        <v>672945</v>
      </c>
      <c r="K21" s="20">
        <v>357736.66666666669</v>
      </c>
    </row>
    <row r="22" spans="1:23" ht="15.75" thickBot="1" x14ac:dyDescent="0.3">
      <c r="A22" s="22">
        <v>99.97760000000001</v>
      </c>
      <c r="B22" s="22">
        <v>958150</v>
      </c>
      <c r="C22" s="23">
        <v>634658</v>
      </c>
      <c r="D22" s="24">
        <v>611723.33333333337</v>
      </c>
      <c r="E22" s="24">
        <v>269291.66666666669</v>
      </c>
      <c r="F22" s="22">
        <v>687345</v>
      </c>
      <c r="G22" s="23">
        <v>402281.66666666669</v>
      </c>
      <c r="H22" s="24">
        <v>1114476.6666666667</v>
      </c>
      <c r="I22" s="24">
        <v>493151.66666666669</v>
      </c>
      <c r="J22" s="22">
        <v>725851.66666666663</v>
      </c>
      <c r="K22" s="23">
        <v>408798.33333333331</v>
      </c>
    </row>
    <row r="23" spans="1:23" x14ac:dyDescent="0.25">
      <c r="B23" s="25"/>
      <c r="C23" s="26"/>
    </row>
    <row r="24" spans="1:23" x14ac:dyDescent="0.25">
      <c r="A24" s="9" t="s">
        <v>11</v>
      </c>
      <c r="B24" s="26"/>
      <c r="E24" s="9" t="s">
        <v>11</v>
      </c>
      <c r="I24" s="9" t="s">
        <v>11</v>
      </c>
      <c r="M24" s="9" t="s">
        <v>11</v>
      </c>
      <c r="Q24" s="9" t="s">
        <v>11</v>
      </c>
      <c r="U24" s="9" t="s">
        <v>11</v>
      </c>
    </row>
    <row r="25" spans="1:23" x14ac:dyDescent="0.25">
      <c r="A25" s="27" t="s">
        <v>34</v>
      </c>
      <c r="B25" s="26"/>
      <c r="E25" s="27" t="s">
        <v>35</v>
      </c>
      <c r="I25" s="27" t="s">
        <v>36</v>
      </c>
      <c r="M25" s="27" t="s">
        <v>37</v>
      </c>
      <c r="Q25" s="27" t="s">
        <v>38</v>
      </c>
      <c r="U25" s="27" t="s">
        <v>39</v>
      </c>
    </row>
    <row r="26" spans="1:23" x14ac:dyDescent="0.25">
      <c r="A26" t="s">
        <v>40</v>
      </c>
      <c r="B26" t="s">
        <v>30</v>
      </c>
      <c r="C26" t="s">
        <v>31</v>
      </c>
      <c r="E26" t="s">
        <v>40</v>
      </c>
      <c r="F26" t="s">
        <v>30</v>
      </c>
      <c r="G26" t="s">
        <v>31</v>
      </c>
      <c r="I26" t="s">
        <v>40</v>
      </c>
      <c r="J26" t="s">
        <v>30</v>
      </c>
      <c r="K26" t="s">
        <v>31</v>
      </c>
      <c r="M26" t="s">
        <v>40</v>
      </c>
      <c r="N26" t="s">
        <v>30</v>
      </c>
      <c r="O26" t="s">
        <v>31</v>
      </c>
      <c r="Q26" t="s">
        <v>40</v>
      </c>
      <c r="R26" t="s">
        <v>30</v>
      </c>
      <c r="S26" t="s">
        <v>31</v>
      </c>
      <c r="U26" t="s">
        <v>40</v>
      </c>
      <c r="V26" t="s">
        <v>30</v>
      </c>
      <c r="W26" t="s">
        <v>31</v>
      </c>
    </row>
    <row r="28" spans="1:23" x14ac:dyDescent="0.25">
      <c r="A28" t="s">
        <v>41</v>
      </c>
      <c r="B28" t="s">
        <v>33</v>
      </c>
      <c r="C28" t="s">
        <v>33</v>
      </c>
      <c r="E28" t="s">
        <v>41</v>
      </c>
      <c r="F28" t="s">
        <v>33</v>
      </c>
      <c r="G28" t="s">
        <v>33</v>
      </c>
      <c r="I28" t="s">
        <v>41</v>
      </c>
      <c r="J28" t="s">
        <v>33</v>
      </c>
      <c r="K28" t="s">
        <v>33</v>
      </c>
      <c r="M28" t="s">
        <v>41</v>
      </c>
      <c r="N28" t="s">
        <v>33</v>
      </c>
      <c r="O28" t="s">
        <v>33</v>
      </c>
      <c r="Q28" t="s">
        <v>41</v>
      </c>
      <c r="R28" t="s">
        <v>33</v>
      </c>
      <c r="S28" t="s">
        <v>33</v>
      </c>
      <c r="U28" t="s">
        <v>41</v>
      </c>
      <c r="V28" t="s">
        <v>33</v>
      </c>
      <c r="W28" t="s">
        <v>33</v>
      </c>
    </row>
    <row r="29" spans="1:23" x14ac:dyDescent="0.25">
      <c r="A29">
        <v>0.628</v>
      </c>
      <c r="B29" s="26">
        <v>140160</v>
      </c>
      <c r="C29">
        <v>58101</v>
      </c>
      <c r="E29">
        <v>0.628</v>
      </c>
      <c r="F29" s="26">
        <v>147570</v>
      </c>
      <c r="G29">
        <v>59340</v>
      </c>
      <c r="I29">
        <v>0.628</v>
      </c>
      <c r="J29" s="26">
        <v>112730</v>
      </c>
      <c r="K29">
        <v>57507</v>
      </c>
      <c r="M29">
        <v>0.628</v>
      </c>
      <c r="N29" s="26">
        <v>118150</v>
      </c>
      <c r="O29">
        <v>63238</v>
      </c>
      <c r="Q29">
        <v>0.628</v>
      </c>
      <c r="R29" s="26">
        <v>175020</v>
      </c>
      <c r="S29">
        <v>81101</v>
      </c>
      <c r="U29">
        <v>0.628</v>
      </c>
      <c r="V29" s="26">
        <v>169140</v>
      </c>
      <c r="W29">
        <v>80392</v>
      </c>
    </row>
    <row r="30" spans="1:23" x14ac:dyDescent="0.25">
      <c r="A30">
        <v>0.92200000000000004</v>
      </c>
      <c r="B30" s="26">
        <v>154100</v>
      </c>
      <c r="C30">
        <v>62256</v>
      </c>
      <c r="E30">
        <v>0.92200000000000004</v>
      </c>
      <c r="F30" s="26">
        <v>162490</v>
      </c>
      <c r="G30">
        <v>65014</v>
      </c>
      <c r="I30">
        <v>0.92200000000000004</v>
      </c>
      <c r="J30" s="26">
        <v>131290</v>
      </c>
      <c r="K30">
        <v>61324</v>
      </c>
      <c r="M30">
        <v>0.92200000000000004</v>
      </c>
      <c r="N30" s="26">
        <v>141000</v>
      </c>
      <c r="O30">
        <v>66522</v>
      </c>
      <c r="Q30">
        <v>0.92200000000000004</v>
      </c>
      <c r="R30" s="26">
        <v>199960</v>
      </c>
      <c r="S30">
        <v>85188</v>
      </c>
      <c r="U30">
        <v>0.92200000000000004</v>
      </c>
      <c r="V30" s="26">
        <v>196670</v>
      </c>
      <c r="W30">
        <v>85557</v>
      </c>
    </row>
    <row r="31" spans="1:23" x14ac:dyDescent="0.25">
      <c r="A31">
        <v>1.35</v>
      </c>
      <c r="B31" s="26">
        <v>168710</v>
      </c>
      <c r="C31">
        <v>69016</v>
      </c>
      <c r="E31">
        <v>1.35</v>
      </c>
      <c r="F31" s="26">
        <v>176870</v>
      </c>
      <c r="G31">
        <v>70899</v>
      </c>
      <c r="I31">
        <v>1.35</v>
      </c>
      <c r="J31" s="26">
        <v>149630</v>
      </c>
      <c r="K31">
        <v>65729</v>
      </c>
      <c r="M31">
        <v>1.35</v>
      </c>
      <c r="N31" s="26">
        <v>159450</v>
      </c>
      <c r="O31">
        <v>70947</v>
      </c>
      <c r="Q31">
        <v>1.35</v>
      </c>
      <c r="R31" s="26">
        <v>223690</v>
      </c>
      <c r="S31">
        <v>94145</v>
      </c>
      <c r="U31">
        <v>1.35</v>
      </c>
      <c r="V31" s="26">
        <v>219120</v>
      </c>
      <c r="W31">
        <v>90416</v>
      </c>
    </row>
    <row r="32" spans="1:23" x14ac:dyDescent="0.25">
      <c r="A32">
        <v>1.99</v>
      </c>
      <c r="B32" s="26">
        <v>184120</v>
      </c>
      <c r="C32">
        <v>74105</v>
      </c>
      <c r="E32">
        <v>1.99</v>
      </c>
      <c r="F32" s="26">
        <v>192250</v>
      </c>
      <c r="G32">
        <v>77665</v>
      </c>
      <c r="I32">
        <v>1.99</v>
      </c>
      <c r="J32" s="26">
        <v>167280</v>
      </c>
      <c r="K32">
        <v>71505</v>
      </c>
      <c r="M32">
        <v>1.99</v>
      </c>
      <c r="N32" s="26">
        <v>177730</v>
      </c>
      <c r="O32">
        <v>76261</v>
      </c>
      <c r="Q32">
        <v>1.99</v>
      </c>
      <c r="R32" s="26">
        <v>247290</v>
      </c>
      <c r="S32" s="26">
        <v>102650</v>
      </c>
      <c r="U32">
        <v>1.99</v>
      </c>
      <c r="V32" s="26">
        <v>246370</v>
      </c>
      <c r="W32" s="26">
        <v>102500</v>
      </c>
    </row>
    <row r="33" spans="1:23" x14ac:dyDescent="0.25">
      <c r="A33">
        <v>2.92</v>
      </c>
      <c r="B33" s="26">
        <v>200460</v>
      </c>
      <c r="C33">
        <v>81082</v>
      </c>
      <c r="E33">
        <v>2.92</v>
      </c>
      <c r="F33" s="26">
        <v>209090</v>
      </c>
      <c r="G33">
        <v>85693</v>
      </c>
      <c r="I33">
        <v>2.92</v>
      </c>
      <c r="J33" s="26">
        <v>185650</v>
      </c>
      <c r="K33">
        <v>77616</v>
      </c>
      <c r="M33">
        <v>2.92</v>
      </c>
      <c r="N33" s="26">
        <v>196150</v>
      </c>
      <c r="O33">
        <v>82938</v>
      </c>
      <c r="Q33">
        <v>2.92</v>
      </c>
      <c r="R33" s="26">
        <v>271760</v>
      </c>
      <c r="S33" s="26">
        <v>113830</v>
      </c>
      <c r="U33">
        <v>2.92</v>
      </c>
      <c r="V33" s="26">
        <v>269690</v>
      </c>
      <c r="W33" s="26">
        <v>112660</v>
      </c>
    </row>
    <row r="34" spans="1:23" x14ac:dyDescent="0.25">
      <c r="A34">
        <v>4.28</v>
      </c>
      <c r="B34" s="26">
        <v>218600</v>
      </c>
      <c r="C34">
        <v>90884</v>
      </c>
      <c r="E34">
        <v>4.28</v>
      </c>
      <c r="F34" s="26">
        <v>227570</v>
      </c>
      <c r="G34">
        <v>94604</v>
      </c>
      <c r="I34">
        <v>4.28</v>
      </c>
      <c r="J34" s="26">
        <v>205010</v>
      </c>
      <c r="K34">
        <v>84861</v>
      </c>
      <c r="M34">
        <v>4.28</v>
      </c>
      <c r="N34" s="26">
        <v>215930</v>
      </c>
      <c r="O34">
        <v>90855</v>
      </c>
      <c r="Q34">
        <v>4.28</v>
      </c>
      <c r="R34" s="26">
        <v>299740</v>
      </c>
      <c r="S34" s="26">
        <v>125160</v>
      </c>
      <c r="U34">
        <v>4.28</v>
      </c>
      <c r="V34" s="26">
        <v>295290</v>
      </c>
      <c r="W34" s="26">
        <v>123310</v>
      </c>
    </row>
    <row r="35" spans="1:23" x14ac:dyDescent="0.25">
      <c r="A35">
        <v>6.28</v>
      </c>
      <c r="B35" s="26">
        <v>238280</v>
      </c>
      <c r="C35" s="26">
        <v>100910</v>
      </c>
      <c r="E35">
        <v>6.28</v>
      </c>
      <c r="F35" s="26">
        <v>247880</v>
      </c>
      <c r="G35" s="26">
        <v>105580</v>
      </c>
      <c r="I35">
        <v>6.28</v>
      </c>
      <c r="J35" s="26">
        <v>225700</v>
      </c>
      <c r="K35">
        <v>94136</v>
      </c>
      <c r="M35">
        <v>6.28</v>
      </c>
      <c r="N35" s="26">
        <v>237020</v>
      </c>
      <c r="O35" s="26">
        <v>100630</v>
      </c>
      <c r="Q35">
        <v>6.28</v>
      </c>
      <c r="R35" s="26">
        <v>328780</v>
      </c>
      <c r="S35" s="26">
        <v>139820</v>
      </c>
      <c r="U35">
        <v>6.28</v>
      </c>
      <c r="V35" s="26">
        <v>323220</v>
      </c>
      <c r="W35" s="26">
        <v>136530</v>
      </c>
    </row>
    <row r="36" spans="1:23" x14ac:dyDescent="0.25">
      <c r="A36">
        <v>9.2200000000000006</v>
      </c>
      <c r="B36" s="26">
        <v>260230</v>
      </c>
      <c r="C36" s="26">
        <v>113380</v>
      </c>
      <c r="E36">
        <v>9.2200000000000006</v>
      </c>
      <c r="F36" s="26">
        <v>270240</v>
      </c>
      <c r="G36" s="26">
        <v>118300</v>
      </c>
      <c r="I36">
        <v>9.2200000000000006</v>
      </c>
      <c r="J36" s="26">
        <v>248520</v>
      </c>
      <c r="K36" s="26">
        <v>105070</v>
      </c>
      <c r="M36">
        <v>9.2200000000000006</v>
      </c>
      <c r="N36" s="26">
        <v>260060</v>
      </c>
      <c r="O36" s="26">
        <v>112250</v>
      </c>
      <c r="Q36">
        <v>9.2200000000000006</v>
      </c>
      <c r="R36" s="26">
        <v>361020</v>
      </c>
      <c r="S36" s="26">
        <v>156320</v>
      </c>
      <c r="U36">
        <v>9.2200000000000006</v>
      </c>
      <c r="V36" s="26">
        <v>353470</v>
      </c>
      <c r="W36" s="26">
        <v>152530</v>
      </c>
    </row>
    <row r="37" spans="1:23" x14ac:dyDescent="0.25">
      <c r="A37">
        <v>13.5</v>
      </c>
      <c r="B37" s="26">
        <v>284550</v>
      </c>
      <c r="C37" s="26">
        <v>127980</v>
      </c>
      <c r="E37">
        <v>13.5</v>
      </c>
      <c r="F37" s="26">
        <v>294950</v>
      </c>
      <c r="G37" s="26">
        <v>133340</v>
      </c>
      <c r="I37">
        <v>13.5</v>
      </c>
      <c r="J37" s="26">
        <v>272840</v>
      </c>
      <c r="K37" s="26">
        <v>117870</v>
      </c>
      <c r="M37">
        <v>13.5</v>
      </c>
      <c r="N37" s="26">
        <v>285360</v>
      </c>
      <c r="O37" s="26">
        <v>126100</v>
      </c>
      <c r="Q37">
        <v>13.5</v>
      </c>
      <c r="R37" s="26">
        <v>396780</v>
      </c>
      <c r="S37" s="26">
        <v>176680</v>
      </c>
      <c r="U37">
        <v>13.5</v>
      </c>
      <c r="V37" s="26">
        <v>386970</v>
      </c>
      <c r="W37" s="26">
        <v>171610</v>
      </c>
    </row>
    <row r="38" spans="1:23" x14ac:dyDescent="0.25">
      <c r="A38">
        <v>19.899999999999999</v>
      </c>
      <c r="B38" s="26">
        <v>311750</v>
      </c>
      <c r="C38" s="26">
        <v>145080</v>
      </c>
      <c r="E38">
        <v>19.899999999999999</v>
      </c>
      <c r="F38" s="26">
        <v>322620</v>
      </c>
      <c r="G38" s="26">
        <v>150970</v>
      </c>
      <c r="I38">
        <v>19.899999999999999</v>
      </c>
      <c r="J38" s="26">
        <v>300010</v>
      </c>
      <c r="K38" s="26">
        <v>132770</v>
      </c>
      <c r="M38">
        <v>19.899999999999999</v>
      </c>
      <c r="N38" s="26">
        <v>313420</v>
      </c>
      <c r="O38" s="26">
        <v>142510</v>
      </c>
      <c r="Q38">
        <v>19.899999999999999</v>
      </c>
      <c r="R38" s="26">
        <v>436140</v>
      </c>
      <c r="S38" s="26">
        <v>200200</v>
      </c>
      <c r="U38">
        <v>19.899999999999999</v>
      </c>
      <c r="V38" s="26">
        <v>424430</v>
      </c>
      <c r="W38" s="26">
        <v>194220</v>
      </c>
    </row>
    <row r="39" spans="1:23" x14ac:dyDescent="0.25">
      <c r="A39">
        <v>29.2</v>
      </c>
      <c r="B39" s="26">
        <v>342120</v>
      </c>
      <c r="C39" s="26">
        <v>165040</v>
      </c>
      <c r="E39">
        <v>29.2</v>
      </c>
      <c r="F39" s="26">
        <v>353620</v>
      </c>
      <c r="G39" s="26">
        <v>171650</v>
      </c>
      <c r="I39">
        <v>29.2</v>
      </c>
      <c r="J39" s="26">
        <v>330650</v>
      </c>
      <c r="K39" s="26">
        <v>151050</v>
      </c>
      <c r="M39">
        <v>29.2</v>
      </c>
      <c r="N39" s="26">
        <v>344990</v>
      </c>
      <c r="O39" s="26">
        <v>161890</v>
      </c>
      <c r="Q39">
        <v>29.2</v>
      </c>
      <c r="R39" s="26">
        <v>480340</v>
      </c>
      <c r="S39" s="26">
        <v>228130</v>
      </c>
      <c r="U39">
        <v>29.2</v>
      </c>
      <c r="V39" s="26">
        <v>466930</v>
      </c>
      <c r="W39" s="26">
        <v>221060</v>
      </c>
    </row>
    <row r="40" spans="1:23" x14ac:dyDescent="0.25">
      <c r="A40">
        <v>42.8</v>
      </c>
      <c r="B40" s="26">
        <v>376430</v>
      </c>
      <c r="C40" s="26">
        <v>188680</v>
      </c>
      <c r="E40">
        <v>42.8</v>
      </c>
      <c r="F40" s="26">
        <v>388690</v>
      </c>
      <c r="G40" s="26">
        <v>196000</v>
      </c>
      <c r="I40">
        <v>42.8</v>
      </c>
      <c r="J40" s="26">
        <v>365250</v>
      </c>
      <c r="K40" s="26">
        <v>172660</v>
      </c>
      <c r="M40">
        <v>42.8</v>
      </c>
      <c r="N40" s="26">
        <v>380730</v>
      </c>
      <c r="O40" s="26">
        <v>184910</v>
      </c>
      <c r="Q40">
        <v>42.8</v>
      </c>
      <c r="R40" s="26">
        <v>530110</v>
      </c>
      <c r="S40" s="26">
        <v>261070</v>
      </c>
      <c r="U40">
        <v>42.8</v>
      </c>
      <c r="V40" s="26">
        <v>515240</v>
      </c>
      <c r="W40" s="26">
        <v>252930</v>
      </c>
    </row>
    <row r="41" spans="1:23" x14ac:dyDescent="0.25">
      <c r="A41">
        <v>62.8</v>
      </c>
      <c r="B41" s="26">
        <v>414860</v>
      </c>
      <c r="C41" s="26">
        <v>216650</v>
      </c>
      <c r="E41">
        <v>62.8</v>
      </c>
      <c r="F41" s="26">
        <v>428280</v>
      </c>
      <c r="G41" s="26">
        <v>224580</v>
      </c>
      <c r="I41">
        <v>62.8</v>
      </c>
      <c r="J41" s="26">
        <v>403930</v>
      </c>
      <c r="K41" s="26">
        <v>198170</v>
      </c>
      <c r="M41">
        <v>62.8</v>
      </c>
      <c r="N41" s="26">
        <v>421250</v>
      </c>
      <c r="O41" s="26">
        <v>212390</v>
      </c>
      <c r="Q41">
        <v>62.8</v>
      </c>
      <c r="R41" s="26">
        <v>587230</v>
      </c>
      <c r="S41" s="26">
        <v>300360</v>
      </c>
      <c r="U41">
        <v>62.8</v>
      </c>
      <c r="V41" s="26">
        <v>570120</v>
      </c>
      <c r="W41" s="26">
        <v>290720</v>
      </c>
    </row>
    <row r="42" spans="1:23" x14ac:dyDescent="0.25">
      <c r="A42">
        <v>92.2</v>
      </c>
      <c r="B42" s="26">
        <v>458840</v>
      </c>
      <c r="C42" s="26">
        <v>249110</v>
      </c>
      <c r="E42">
        <v>92.2</v>
      </c>
      <c r="F42" s="26">
        <v>473070</v>
      </c>
      <c r="G42" s="26">
        <v>258110</v>
      </c>
      <c r="I42">
        <v>92.2</v>
      </c>
      <c r="J42" s="26">
        <v>448650</v>
      </c>
      <c r="K42" s="26">
        <v>228140</v>
      </c>
      <c r="M42">
        <v>92.2</v>
      </c>
      <c r="N42" s="26">
        <v>467440</v>
      </c>
      <c r="O42" s="26">
        <v>244490</v>
      </c>
      <c r="Q42">
        <v>92.2</v>
      </c>
      <c r="R42" s="26">
        <v>652900</v>
      </c>
      <c r="S42" s="26">
        <v>346930</v>
      </c>
      <c r="U42">
        <v>92.2</v>
      </c>
      <c r="V42" s="26">
        <v>633250</v>
      </c>
      <c r="W42" s="26">
        <v>335640</v>
      </c>
    </row>
    <row r="43" spans="1:23" x14ac:dyDescent="0.25">
      <c r="A43">
        <v>135</v>
      </c>
      <c r="B43" s="26">
        <v>509340</v>
      </c>
      <c r="C43" s="26">
        <v>287420</v>
      </c>
      <c r="E43">
        <v>135</v>
      </c>
      <c r="F43" s="26">
        <v>524600</v>
      </c>
      <c r="G43" s="26">
        <v>297480</v>
      </c>
      <c r="I43">
        <v>135</v>
      </c>
      <c r="J43" s="26">
        <v>500960</v>
      </c>
      <c r="K43" s="26">
        <v>264170</v>
      </c>
      <c r="M43">
        <v>135</v>
      </c>
      <c r="N43" s="26">
        <v>520460</v>
      </c>
      <c r="O43" s="26">
        <v>282890</v>
      </c>
      <c r="Q43">
        <v>135</v>
      </c>
      <c r="R43" s="26">
        <v>729320</v>
      </c>
      <c r="S43" s="26">
        <v>402560</v>
      </c>
      <c r="U43">
        <v>135</v>
      </c>
      <c r="V43" s="26">
        <v>706860</v>
      </c>
      <c r="W43" s="26">
        <v>389190</v>
      </c>
    </row>
    <row r="44" spans="1:23" x14ac:dyDescent="0.25">
      <c r="A44">
        <v>199</v>
      </c>
      <c r="B44" s="26">
        <v>566630</v>
      </c>
      <c r="C44" s="26">
        <v>332560</v>
      </c>
      <c r="E44">
        <v>199</v>
      </c>
      <c r="F44" s="26">
        <v>583480</v>
      </c>
      <c r="G44" s="26">
        <v>343840</v>
      </c>
      <c r="I44">
        <v>199</v>
      </c>
      <c r="J44" s="26">
        <v>561590</v>
      </c>
      <c r="K44" s="26">
        <v>307410</v>
      </c>
      <c r="M44">
        <v>199</v>
      </c>
      <c r="N44" s="26">
        <v>582790</v>
      </c>
      <c r="O44" s="26">
        <v>328560</v>
      </c>
      <c r="Q44">
        <v>199</v>
      </c>
      <c r="R44" s="26">
        <v>819160</v>
      </c>
      <c r="S44" s="26">
        <v>468810</v>
      </c>
      <c r="U44">
        <v>199</v>
      </c>
      <c r="V44" s="26">
        <v>793070</v>
      </c>
      <c r="W44" s="26">
        <v>453750</v>
      </c>
    </row>
    <row r="45" spans="1:23" x14ac:dyDescent="0.25">
      <c r="A45">
        <v>292</v>
      </c>
      <c r="B45" s="26">
        <v>633660</v>
      </c>
      <c r="C45" s="26">
        <v>385820</v>
      </c>
      <c r="E45">
        <v>292</v>
      </c>
      <c r="F45" s="26">
        <v>651370</v>
      </c>
      <c r="G45" s="26">
        <v>398200</v>
      </c>
      <c r="I45">
        <v>292</v>
      </c>
      <c r="J45" s="26">
        <v>633530</v>
      </c>
      <c r="K45" s="26">
        <v>359250</v>
      </c>
      <c r="M45">
        <v>292</v>
      </c>
      <c r="N45" s="26">
        <v>656360</v>
      </c>
      <c r="O45" s="26">
        <v>383950</v>
      </c>
      <c r="Q45">
        <v>292</v>
      </c>
      <c r="R45" s="26">
        <v>927170</v>
      </c>
      <c r="S45" s="26">
        <v>550720</v>
      </c>
      <c r="U45">
        <v>292</v>
      </c>
      <c r="V45" s="26">
        <v>896610</v>
      </c>
      <c r="W45" s="26">
        <v>531560</v>
      </c>
    </row>
    <row r="46" spans="1:23" x14ac:dyDescent="0.25">
      <c r="A46">
        <v>428</v>
      </c>
      <c r="B46" s="26">
        <v>713980</v>
      </c>
      <c r="C46" s="26">
        <v>451050</v>
      </c>
      <c r="E46">
        <v>428</v>
      </c>
      <c r="F46" s="26">
        <v>733640</v>
      </c>
      <c r="G46" s="26">
        <v>464470</v>
      </c>
      <c r="I46">
        <v>428</v>
      </c>
      <c r="J46" s="26">
        <v>721070</v>
      </c>
      <c r="K46" s="26">
        <v>423270</v>
      </c>
      <c r="M46">
        <v>428</v>
      </c>
      <c r="N46" s="26">
        <v>744740</v>
      </c>
      <c r="O46" s="26">
        <v>451720</v>
      </c>
      <c r="Q46">
        <v>428</v>
      </c>
      <c r="R46" s="26">
        <v>1058100</v>
      </c>
      <c r="S46" s="26">
        <v>651000</v>
      </c>
      <c r="U46">
        <v>428</v>
      </c>
      <c r="V46" s="26">
        <v>1021800</v>
      </c>
      <c r="W46" s="26">
        <v>627350</v>
      </c>
    </row>
    <row r="47" spans="1:23" x14ac:dyDescent="0.25">
      <c r="A47">
        <v>628</v>
      </c>
      <c r="B47" s="26">
        <v>813490</v>
      </c>
      <c r="C47" s="26">
        <v>536690</v>
      </c>
      <c r="E47">
        <v>628</v>
      </c>
      <c r="F47" s="26">
        <v>834690</v>
      </c>
      <c r="G47" s="26">
        <v>552610</v>
      </c>
      <c r="I47">
        <v>628</v>
      </c>
      <c r="J47" s="26">
        <v>833770</v>
      </c>
      <c r="K47" s="26">
        <v>509570</v>
      </c>
      <c r="M47">
        <v>628</v>
      </c>
      <c r="N47" s="26">
        <v>856550</v>
      </c>
      <c r="O47" s="26">
        <v>541790</v>
      </c>
      <c r="Q47">
        <v>628</v>
      </c>
      <c r="R47" s="26">
        <v>1229300</v>
      </c>
      <c r="S47" s="26">
        <v>785970</v>
      </c>
      <c r="U47">
        <v>628</v>
      </c>
      <c r="V47" s="26">
        <v>1181100</v>
      </c>
      <c r="W47" s="26">
        <v>756230</v>
      </c>
    </row>
    <row r="48" spans="1:23" x14ac:dyDescent="0.25">
      <c r="A48" s="9" t="s">
        <v>42</v>
      </c>
      <c r="E48" s="9" t="s">
        <v>42</v>
      </c>
    </row>
    <row r="49" spans="1:26" x14ac:dyDescent="0.25">
      <c r="A49" s="27" t="s">
        <v>34</v>
      </c>
      <c r="B49" s="26"/>
      <c r="E49" s="27" t="s">
        <v>35</v>
      </c>
      <c r="I49" s="27" t="s">
        <v>36</v>
      </c>
      <c r="M49" s="27" t="s">
        <v>37</v>
      </c>
      <c r="Q49" s="27" t="s">
        <v>38</v>
      </c>
      <c r="U49" s="27" t="s">
        <v>39</v>
      </c>
    </row>
    <row r="50" spans="1:26" x14ac:dyDescent="0.25">
      <c r="A50" t="s">
        <v>40</v>
      </c>
      <c r="B50" t="s">
        <v>30</v>
      </c>
      <c r="C50" t="s">
        <v>31</v>
      </c>
      <c r="E50" t="s">
        <v>40</v>
      </c>
      <c r="F50" t="s">
        <v>30</v>
      </c>
      <c r="G50" t="s">
        <v>31</v>
      </c>
      <c r="I50" t="s">
        <v>40</v>
      </c>
      <c r="J50" t="s">
        <v>30</v>
      </c>
      <c r="K50" t="s">
        <v>31</v>
      </c>
      <c r="M50" t="s">
        <v>40</v>
      </c>
      <c r="N50" t="s">
        <v>30</v>
      </c>
      <c r="O50" t="s">
        <v>31</v>
      </c>
      <c r="Q50" t="s">
        <v>40</v>
      </c>
      <c r="R50" t="s">
        <v>30</v>
      </c>
      <c r="S50" t="s">
        <v>31</v>
      </c>
      <c r="U50" t="s">
        <v>43</v>
      </c>
      <c r="V50" t="s">
        <v>40</v>
      </c>
      <c r="W50" t="s">
        <v>30</v>
      </c>
      <c r="Z50" s="9" t="s">
        <v>44</v>
      </c>
    </row>
    <row r="52" spans="1:26" x14ac:dyDescent="0.25">
      <c r="A52" t="s">
        <v>41</v>
      </c>
      <c r="B52" t="s">
        <v>33</v>
      </c>
      <c r="C52" t="s">
        <v>33</v>
      </c>
      <c r="E52" t="s">
        <v>41</v>
      </c>
      <c r="F52" t="s">
        <v>33</v>
      </c>
      <c r="G52" t="s">
        <v>33</v>
      </c>
      <c r="I52" t="s">
        <v>41</v>
      </c>
      <c r="J52" t="s">
        <v>33</v>
      </c>
      <c r="K52" t="s">
        <v>33</v>
      </c>
      <c r="M52" t="s">
        <v>41</v>
      </c>
      <c r="N52" t="s">
        <v>33</v>
      </c>
      <c r="O52" t="s">
        <v>33</v>
      </c>
      <c r="Q52" t="s">
        <v>41</v>
      </c>
      <c r="R52" t="s">
        <v>33</v>
      </c>
      <c r="S52" t="s">
        <v>33</v>
      </c>
      <c r="V52" t="s">
        <v>41</v>
      </c>
      <c r="W52" t="s">
        <v>33</v>
      </c>
    </row>
    <row r="53" spans="1:26" x14ac:dyDescent="0.25">
      <c r="A53">
        <v>0.628</v>
      </c>
      <c r="B53" s="26">
        <v>103110</v>
      </c>
      <c r="C53">
        <v>41544</v>
      </c>
      <c r="E53">
        <v>0.628</v>
      </c>
      <c r="F53" s="26">
        <v>312690</v>
      </c>
      <c r="G53" s="26">
        <v>122930</v>
      </c>
      <c r="I53">
        <v>0.628</v>
      </c>
      <c r="J53" s="26">
        <v>434060</v>
      </c>
      <c r="K53" s="26">
        <v>175790</v>
      </c>
      <c r="M53">
        <v>0.628</v>
      </c>
      <c r="N53">
        <v>84310</v>
      </c>
      <c r="O53">
        <v>35134</v>
      </c>
      <c r="Q53">
        <v>0.628</v>
      </c>
      <c r="R53">
        <v>92551</v>
      </c>
      <c r="S53">
        <v>35029</v>
      </c>
      <c r="U53">
        <v>1</v>
      </c>
      <c r="V53">
        <v>0.628</v>
      </c>
      <c r="W53" s="26">
        <v>136180</v>
      </c>
    </row>
    <row r="54" spans="1:26" x14ac:dyDescent="0.25">
      <c r="A54">
        <v>0.92200000000000004</v>
      </c>
      <c r="B54" s="26">
        <v>118050</v>
      </c>
      <c r="C54">
        <v>41701</v>
      </c>
      <c r="E54">
        <v>0.92200000000000004</v>
      </c>
      <c r="F54" s="26">
        <v>358110</v>
      </c>
      <c r="G54" s="26">
        <v>126070</v>
      </c>
      <c r="I54">
        <v>0.92200000000000004</v>
      </c>
      <c r="J54" s="26">
        <v>477190</v>
      </c>
      <c r="K54" s="26">
        <v>178050</v>
      </c>
      <c r="M54">
        <v>0.92200000000000004</v>
      </c>
      <c r="N54">
        <v>92315</v>
      </c>
      <c r="O54">
        <v>35096</v>
      </c>
      <c r="Q54">
        <v>0.92200000000000004</v>
      </c>
      <c r="R54" s="26">
        <v>102000</v>
      </c>
      <c r="S54">
        <v>35774</v>
      </c>
      <c r="U54">
        <v>2</v>
      </c>
      <c r="V54">
        <v>0.92200000000000004</v>
      </c>
      <c r="W54" s="26">
        <v>154490</v>
      </c>
    </row>
    <row r="55" spans="1:26" x14ac:dyDescent="0.25">
      <c r="A55">
        <v>1.35</v>
      </c>
      <c r="B55" s="26">
        <v>129040</v>
      </c>
      <c r="C55">
        <v>43560</v>
      </c>
      <c r="E55">
        <v>1.35</v>
      </c>
      <c r="F55" s="26">
        <v>391890</v>
      </c>
      <c r="G55" s="26">
        <v>131160</v>
      </c>
      <c r="I55">
        <v>1.35</v>
      </c>
      <c r="J55" s="26">
        <v>520530</v>
      </c>
      <c r="K55" s="26">
        <v>185160</v>
      </c>
      <c r="M55">
        <v>1.35</v>
      </c>
      <c r="N55">
        <v>99565</v>
      </c>
      <c r="O55">
        <v>36127</v>
      </c>
      <c r="Q55">
        <v>1.35</v>
      </c>
      <c r="R55" s="26">
        <v>108960</v>
      </c>
      <c r="S55">
        <v>36709</v>
      </c>
      <c r="U55">
        <v>3</v>
      </c>
      <c r="V55">
        <v>1.35</v>
      </c>
      <c r="W55" s="26">
        <v>169240</v>
      </c>
    </row>
    <row r="56" spans="1:26" x14ac:dyDescent="0.25">
      <c r="A56">
        <v>1.99</v>
      </c>
      <c r="B56" s="26">
        <v>139680</v>
      </c>
      <c r="C56">
        <v>45868</v>
      </c>
      <c r="E56">
        <v>1.99</v>
      </c>
      <c r="F56" s="26">
        <v>424040</v>
      </c>
      <c r="G56" s="26">
        <v>137020</v>
      </c>
      <c r="I56">
        <v>1.99</v>
      </c>
      <c r="J56" s="26">
        <v>564660</v>
      </c>
      <c r="K56" s="26">
        <v>195700</v>
      </c>
      <c r="M56">
        <v>1.99</v>
      </c>
      <c r="N56" s="26">
        <v>106570</v>
      </c>
      <c r="O56">
        <v>37699</v>
      </c>
      <c r="Q56">
        <v>1.99</v>
      </c>
      <c r="R56" s="26">
        <v>116360</v>
      </c>
      <c r="S56">
        <v>37865</v>
      </c>
      <c r="U56">
        <v>4</v>
      </c>
      <c r="V56">
        <v>1.99</v>
      </c>
      <c r="W56" s="26">
        <v>183980</v>
      </c>
    </row>
    <row r="57" spans="1:26" x14ac:dyDescent="0.25">
      <c r="A57">
        <v>2.92</v>
      </c>
      <c r="B57" s="26">
        <v>149730</v>
      </c>
      <c r="C57">
        <v>48168</v>
      </c>
      <c r="E57">
        <v>2.92</v>
      </c>
      <c r="F57" s="26">
        <v>454200</v>
      </c>
      <c r="G57" s="26">
        <v>144360</v>
      </c>
      <c r="I57">
        <v>2.92</v>
      </c>
      <c r="J57" s="26">
        <v>609640</v>
      </c>
      <c r="K57" s="26">
        <v>206460</v>
      </c>
      <c r="M57">
        <v>2.92</v>
      </c>
      <c r="N57" s="26">
        <v>113900</v>
      </c>
      <c r="O57">
        <v>39853</v>
      </c>
      <c r="Q57">
        <v>2.92</v>
      </c>
      <c r="R57" s="26">
        <v>123970</v>
      </c>
      <c r="S57">
        <v>39633</v>
      </c>
      <c r="U57">
        <v>5</v>
      </c>
      <c r="V57">
        <v>2.92</v>
      </c>
      <c r="W57" s="26">
        <v>198970</v>
      </c>
    </row>
    <row r="58" spans="1:26" x14ac:dyDescent="0.25">
      <c r="A58">
        <v>4.28</v>
      </c>
      <c r="B58" s="26">
        <v>159990</v>
      </c>
      <c r="C58">
        <v>51117</v>
      </c>
      <c r="E58">
        <v>4.28</v>
      </c>
      <c r="F58" s="26">
        <v>486030</v>
      </c>
      <c r="G58" s="26">
        <v>151750</v>
      </c>
      <c r="I58">
        <v>4.28</v>
      </c>
      <c r="J58" s="26">
        <v>657760</v>
      </c>
      <c r="K58" s="26">
        <v>220510</v>
      </c>
      <c r="M58">
        <v>4.28</v>
      </c>
      <c r="N58" s="26">
        <v>121750</v>
      </c>
      <c r="O58">
        <v>42360</v>
      </c>
      <c r="Q58">
        <v>4.28</v>
      </c>
      <c r="R58" s="26">
        <v>131560</v>
      </c>
      <c r="S58">
        <v>42005</v>
      </c>
      <c r="U58">
        <v>6</v>
      </c>
      <c r="V58">
        <v>4.28</v>
      </c>
      <c r="W58" s="26">
        <v>214660</v>
      </c>
    </row>
    <row r="59" spans="1:26" x14ac:dyDescent="0.25">
      <c r="A59">
        <v>6.28</v>
      </c>
      <c r="B59" s="26">
        <v>169860</v>
      </c>
      <c r="C59">
        <v>54276</v>
      </c>
      <c r="E59">
        <v>6.28</v>
      </c>
      <c r="F59" s="26">
        <v>517600</v>
      </c>
      <c r="G59" s="26">
        <v>160700</v>
      </c>
      <c r="I59">
        <v>6.28</v>
      </c>
      <c r="J59" s="26">
        <v>706750</v>
      </c>
      <c r="K59" s="26">
        <v>234320</v>
      </c>
      <c r="M59">
        <v>6.28</v>
      </c>
      <c r="N59" s="26">
        <v>130020</v>
      </c>
      <c r="O59">
        <v>45284</v>
      </c>
      <c r="Q59">
        <v>6.28</v>
      </c>
      <c r="R59" s="26">
        <v>139470</v>
      </c>
      <c r="S59">
        <v>44811</v>
      </c>
      <c r="U59">
        <v>7</v>
      </c>
      <c r="V59">
        <v>6.28</v>
      </c>
      <c r="W59" s="26">
        <v>231630</v>
      </c>
    </row>
    <row r="60" spans="1:26" x14ac:dyDescent="0.25">
      <c r="A60">
        <v>9.2200000000000006</v>
      </c>
      <c r="B60" s="26">
        <v>180320</v>
      </c>
      <c r="C60">
        <v>57662</v>
      </c>
      <c r="E60">
        <v>9.2200000000000006</v>
      </c>
      <c r="F60" s="26">
        <v>548470</v>
      </c>
      <c r="G60" s="26">
        <v>170550</v>
      </c>
      <c r="I60">
        <v>9.2200000000000006</v>
      </c>
      <c r="J60" s="26">
        <v>761220</v>
      </c>
      <c r="K60" s="26">
        <v>252510</v>
      </c>
      <c r="M60">
        <v>9.2200000000000006</v>
      </c>
      <c r="N60" s="26">
        <v>138980</v>
      </c>
      <c r="O60">
        <v>48763</v>
      </c>
      <c r="Q60">
        <v>9.2200000000000006</v>
      </c>
      <c r="R60" s="26">
        <v>147800</v>
      </c>
      <c r="S60">
        <v>47780</v>
      </c>
      <c r="U60">
        <v>8</v>
      </c>
      <c r="V60">
        <v>9.2200000000000006</v>
      </c>
      <c r="W60" s="26">
        <v>249420</v>
      </c>
    </row>
    <row r="61" spans="1:26" x14ac:dyDescent="0.25">
      <c r="A61">
        <v>13.5</v>
      </c>
      <c r="B61" s="26">
        <v>190910</v>
      </c>
      <c r="C61">
        <v>61441</v>
      </c>
      <c r="E61">
        <v>13.5</v>
      </c>
      <c r="F61" s="26">
        <v>578680</v>
      </c>
      <c r="G61" s="26">
        <v>181130</v>
      </c>
      <c r="I61">
        <v>13.5</v>
      </c>
      <c r="J61" s="26">
        <v>818050</v>
      </c>
      <c r="K61" s="26">
        <v>270510</v>
      </c>
      <c r="M61">
        <v>13.5</v>
      </c>
      <c r="N61" s="26">
        <v>148430</v>
      </c>
      <c r="O61">
        <v>52739</v>
      </c>
      <c r="Q61">
        <v>13.5</v>
      </c>
      <c r="R61" s="26">
        <v>156680</v>
      </c>
      <c r="S61">
        <v>51163</v>
      </c>
      <c r="U61">
        <v>9</v>
      </c>
      <c r="V61">
        <v>13.5</v>
      </c>
      <c r="W61" s="26">
        <v>268650</v>
      </c>
    </row>
    <row r="62" spans="1:26" x14ac:dyDescent="0.25">
      <c r="A62">
        <v>19.899999999999999</v>
      </c>
      <c r="B62" s="26">
        <v>201550</v>
      </c>
      <c r="C62">
        <v>65470</v>
      </c>
      <c r="E62">
        <v>19.899999999999999</v>
      </c>
      <c r="F62" s="26">
        <v>609670</v>
      </c>
      <c r="G62" s="26">
        <v>191990</v>
      </c>
      <c r="I62">
        <v>19.899999999999999</v>
      </c>
      <c r="J62" s="26">
        <v>877580</v>
      </c>
      <c r="K62" s="26">
        <v>293930</v>
      </c>
      <c r="M62">
        <v>19.899999999999999</v>
      </c>
      <c r="N62" s="26">
        <v>158840</v>
      </c>
      <c r="O62">
        <v>57363</v>
      </c>
      <c r="Q62">
        <v>19.899999999999999</v>
      </c>
      <c r="R62" s="26">
        <v>166140</v>
      </c>
      <c r="S62">
        <v>55012</v>
      </c>
      <c r="U62">
        <v>10</v>
      </c>
      <c r="V62">
        <v>19.899999999999999</v>
      </c>
      <c r="W62" s="26">
        <v>289490</v>
      </c>
    </row>
    <row r="63" spans="1:26" x14ac:dyDescent="0.25">
      <c r="A63">
        <v>29.2</v>
      </c>
      <c r="B63" s="26">
        <v>212890</v>
      </c>
      <c r="C63">
        <v>69731</v>
      </c>
      <c r="E63">
        <v>29.2</v>
      </c>
      <c r="F63" s="26">
        <v>641010</v>
      </c>
      <c r="G63" s="26">
        <v>203990</v>
      </c>
      <c r="I63">
        <v>29.2</v>
      </c>
      <c r="J63" s="26">
        <v>947090</v>
      </c>
      <c r="K63" s="26">
        <v>316170</v>
      </c>
      <c r="M63">
        <v>29.2</v>
      </c>
      <c r="N63" s="26">
        <v>170040</v>
      </c>
      <c r="O63">
        <v>62657</v>
      </c>
      <c r="Q63">
        <v>29.2</v>
      </c>
      <c r="R63" s="26">
        <v>175600</v>
      </c>
      <c r="S63">
        <v>59739</v>
      </c>
      <c r="U63">
        <v>11</v>
      </c>
      <c r="V63">
        <v>29.2</v>
      </c>
      <c r="W63" s="26">
        <v>312300</v>
      </c>
    </row>
    <row r="64" spans="1:26" x14ac:dyDescent="0.25">
      <c r="A64">
        <v>42.8</v>
      </c>
      <c r="B64" s="26">
        <v>223420</v>
      </c>
      <c r="C64">
        <v>74429</v>
      </c>
      <c r="E64">
        <v>42.8</v>
      </c>
      <c r="F64" s="26">
        <v>671230</v>
      </c>
      <c r="G64" s="26">
        <v>216580</v>
      </c>
      <c r="I64">
        <v>42.8</v>
      </c>
      <c r="J64" s="26">
        <v>1018600</v>
      </c>
      <c r="K64" s="26">
        <v>341620</v>
      </c>
      <c r="M64">
        <v>42.8</v>
      </c>
      <c r="N64" s="26">
        <v>182150</v>
      </c>
      <c r="O64">
        <v>68785</v>
      </c>
      <c r="Q64">
        <v>42.8</v>
      </c>
      <c r="R64" s="26">
        <v>185330</v>
      </c>
      <c r="S64">
        <v>64525</v>
      </c>
      <c r="U64">
        <v>12</v>
      </c>
      <c r="V64">
        <v>42.8</v>
      </c>
      <c r="W64" s="26">
        <v>336820</v>
      </c>
    </row>
    <row r="65" spans="1:26" x14ac:dyDescent="0.25">
      <c r="A65">
        <v>62.8</v>
      </c>
      <c r="B65" s="26">
        <v>233250</v>
      </c>
      <c r="C65">
        <v>79121</v>
      </c>
      <c r="E65">
        <v>62.8</v>
      </c>
      <c r="F65" s="26">
        <v>703640</v>
      </c>
      <c r="G65" s="26">
        <v>229490</v>
      </c>
      <c r="I65">
        <v>62.8</v>
      </c>
      <c r="J65" s="26">
        <v>1096300</v>
      </c>
      <c r="K65" s="26">
        <v>370050</v>
      </c>
      <c r="M65">
        <v>62.8</v>
      </c>
      <c r="N65" s="26">
        <v>195360</v>
      </c>
      <c r="O65">
        <v>75741</v>
      </c>
      <c r="Q65">
        <v>62.8</v>
      </c>
      <c r="R65" s="26">
        <v>196090</v>
      </c>
      <c r="S65">
        <v>69826</v>
      </c>
      <c r="U65">
        <v>13</v>
      </c>
      <c r="V65">
        <v>62.8</v>
      </c>
      <c r="W65" s="26">
        <v>363610</v>
      </c>
    </row>
    <row r="66" spans="1:26" x14ac:dyDescent="0.25">
      <c r="A66">
        <v>92.2</v>
      </c>
      <c r="B66" s="26">
        <v>237020</v>
      </c>
      <c r="C66">
        <v>82712</v>
      </c>
      <c r="E66">
        <v>92.2</v>
      </c>
      <c r="F66" s="26">
        <v>730940</v>
      </c>
      <c r="G66" s="26">
        <v>245130</v>
      </c>
      <c r="I66">
        <v>92.2</v>
      </c>
      <c r="J66" s="26">
        <v>1181400</v>
      </c>
      <c r="K66" s="26">
        <v>401240</v>
      </c>
      <c r="M66">
        <v>92.2</v>
      </c>
      <c r="N66" s="26">
        <v>209660</v>
      </c>
      <c r="O66">
        <v>83656</v>
      </c>
      <c r="Q66">
        <v>92.2</v>
      </c>
      <c r="R66" s="26">
        <v>207520</v>
      </c>
      <c r="S66">
        <v>75566</v>
      </c>
      <c r="U66">
        <v>14</v>
      </c>
      <c r="V66">
        <v>92.2</v>
      </c>
      <c r="W66" s="26">
        <v>393470</v>
      </c>
    </row>
    <row r="67" spans="1:26" x14ac:dyDescent="0.25">
      <c r="A67">
        <v>135</v>
      </c>
      <c r="B67" s="26">
        <v>243480</v>
      </c>
      <c r="C67">
        <v>86422</v>
      </c>
      <c r="E67">
        <v>135</v>
      </c>
      <c r="F67" s="26">
        <v>758790</v>
      </c>
      <c r="G67" s="26">
        <v>260820</v>
      </c>
      <c r="I67">
        <v>135</v>
      </c>
      <c r="J67" s="26">
        <v>1279500</v>
      </c>
      <c r="K67" s="26">
        <v>436790</v>
      </c>
      <c r="M67">
        <v>135</v>
      </c>
      <c r="N67" s="26">
        <v>224870</v>
      </c>
      <c r="O67">
        <v>92663</v>
      </c>
      <c r="Q67">
        <v>135</v>
      </c>
      <c r="R67" s="26">
        <v>219100</v>
      </c>
      <c r="S67">
        <v>82212</v>
      </c>
      <c r="U67">
        <v>15</v>
      </c>
      <c r="V67">
        <v>135</v>
      </c>
      <c r="W67" s="26">
        <v>426170</v>
      </c>
    </row>
    <row r="68" spans="1:26" x14ac:dyDescent="0.25">
      <c r="A68">
        <v>199</v>
      </c>
      <c r="B68" s="26">
        <v>240360</v>
      </c>
      <c r="C68">
        <v>91713</v>
      </c>
      <c r="E68">
        <v>199</v>
      </c>
      <c r="F68" s="26">
        <v>761590</v>
      </c>
      <c r="G68" s="26">
        <v>279440</v>
      </c>
      <c r="I68">
        <v>199</v>
      </c>
      <c r="J68" s="26">
        <v>1383600</v>
      </c>
      <c r="K68" s="26">
        <v>472090</v>
      </c>
      <c r="M68">
        <v>199</v>
      </c>
      <c r="N68" s="26">
        <v>240970</v>
      </c>
      <c r="O68" s="26">
        <v>102840</v>
      </c>
      <c r="Q68">
        <v>199</v>
      </c>
      <c r="R68" s="26">
        <v>228480</v>
      </c>
      <c r="S68">
        <v>90131</v>
      </c>
      <c r="U68">
        <v>16</v>
      </c>
      <c r="V68">
        <v>199</v>
      </c>
      <c r="W68" s="26">
        <v>462210</v>
      </c>
    </row>
    <row r="69" spans="1:26" x14ac:dyDescent="0.25">
      <c r="A69">
        <v>292</v>
      </c>
      <c r="B69" s="26">
        <v>234620</v>
      </c>
      <c r="C69">
        <v>94783</v>
      </c>
      <c r="E69">
        <v>292</v>
      </c>
      <c r="F69" s="26">
        <v>764860</v>
      </c>
      <c r="G69" s="26">
        <v>298780</v>
      </c>
      <c r="I69">
        <v>292</v>
      </c>
      <c r="J69" s="26">
        <v>1499100</v>
      </c>
      <c r="K69" s="26">
        <v>510120</v>
      </c>
      <c r="M69">
        <v>292</v>
      </c>
      <c r="N69" s="26">
        <v>257310</v>
      </c>
      <c r="O69" s="26">
        <v>114770</v>
      </c>
      <c r="Q69">
        <v>292</v>
      </c>
      <c r="R69" s="26">
        <v>234240</v>
      </c>
      <c r="S69">
        <v>98275</v>
      </c>
      <c r="U69">
        <v>17</v>
      </c>
      <c r="V69">
        <v>292</v>
      </c>
      <c r="W69" s="26">
        <v>501490</v>
      </c>
    </row>
    <row r="70" spans="1:26" x14ac:dyDescent="0.25">
      <c r="A70">
        <v>428</v>
      </c>
      <c r="B70" s="26">
        <v>214340</v>
      </c>
      <c r="C70" s="26">
        <v>100780</v>
      </c>
      <c r="E70">
        <v>428</v>
      </c>
      <c r="F70" s="26">
        <v>764830</v>
      </c>
      <c r="G70" s="26">
        <v>321280</v>
      </c>
      <c r="I70">
        <v>428</v>
      </c>
      <c r="J70" s="26">
        <v>1631000</v>
      </c>
      <c r="K70" s="26">
        <v>552550</v>
      </c>
      <c r="M70">
        <v>428</v>
      </c>
      <c r="N70" s="26">
        <v>266620</v>
      </c>
      <c r="O70" s="26">
        <v>129630</v>
      </c>
      <c r="Q70">
        <v>428</v>
      </c>
      <c r="R70" s="26">
        <v>225910</v>
      </c>
      <c r="S70" s="26">
        <v>108490</v>
      </c>
      <c r="U70">
        <v>18</v>
      </c>
      <c r="V70">
        <v>428</v>
      </c>
      <c r="W70" s="26">
        <v>543420</v>
      </c>
    </row>
    <row r="71" spans="1:26" x14ac:dyDescent="0.25">
      <c r="A71">
        <v>628</v>
      </c>
      <c r="B71" s="26">
        <v>143660</v>
      </c>
      <c r="C71" s="26">
        <v>117930</v>
      </c>
      <c r="E71">
        <v>628</v>
      </c>
      <c r="F71" s="26">
        <v>748360</v>
      </c>
      <c r="G71" s="26">
        <v>343930</v>
      </c>
      <c r="I71">
        <v>628</v>
      </c>
      <c r="J71" s="26">
        <v>1780300</v>
      </c>
      <c r="K71" s="26">
        <v>605490</v>
      </c>
      <c r="M71">
        <v>628</v>
      </c>
      <c r="N71" s="26">
        <v>260900</v>
      </c>
      <c r="O71" s="26">
        <v>152110</v>
      </c>
      <c r="Q71">
        <v>628</v>
      </c>
      <c r="R71" s="26">
        <v>159980</v>
      </c>
      <c r="S71" s="26">
        <v>131250</v>
      </c>
      <c r="U71">
        <v>19</v>
      </c>
      <c r="V71">
        <v>628</v>
      </c>
      <c r="W71" s="26">
        <v>577140</v>
      </c>
    </row>
    <row r="72" spans="1:26" x14ac:dyDescent="0.25">
      <c r="A72" s="9" t="s">
        <v>45</v>
      </c>
      <c r="E72" s="9" t="s">
        <v>45</v>
      </c>
      <c r="I72" s="9" t="s">
        <v>45</v>
      </c>
      <c r="M72" s="9" t="s">
        <v>45</v>
      </c>
      <c r="Q72" s="9" t="s">
        <v>45</v>
      </c>
      <c r="U72" s="9" t="s">
        <v>45</v>
      </c>
    </row>
    <row r="73" spans="1:26" x14ac:dyDescent="0.25">
      <c r="A73" s="27" t="s">
        <v>34</v>
      </c>
      <c r="B73" s="26"/>
      <c r="E73" s="27" t="s">
        <v>35</v>
      </c>
      <c r="I73" s="27" t="s">
        <v>36</v>
      </c>
      <c r="M73" s="27" t="s">
        <v>37</v>
      </c>
      <c r="Q73" s="27" t="s">
        <v>38</v>
      </c>
      <c r="U73" s="27" t="s">
        <v>39</v>
      </c>
    </row>
    <row r="74" spans="1:26" x14ac:dyDescent="0.25">
      <c r="A74" t="s">
        <v>40</v>
      </c>
      <c r="B74" t="s">
        <v>30</v>
      </c>
      <c r="C74" t="s">
        <v>31</v>
      </c>
      <c r="E74" t="s">
        <v>40</v>
      </c>
      <c r="F74" t="s">
        <v>30</v>
      </c>
      <c r="G74" t="s">
        <v>31</v>
      </c>
      <c r="I74" t="s">
        <v>40</v>
      </c>
      <c r="J74" t="s">
        <v>30</v>
      </c>
      <c r="K74" t="s">
        <v>31</v>
      </c>
      <c r="M74" t="s">
        <v>30</v>
      </c>
      <c r="N74" t="s">
        <v>31</v>
      </c>
      <c r="O74" t="s">
        <v>46</v>
      </c>
      <c r="Q74" t="s">
        <v>30</v>
      </c>
      <c r="R74" t="s">
        <v>31</v>
      </c>
      <c r="S74" t="s">
        <v>46</v>
      </c>
      <c r="U74" t="s">
        <v>30</v>
      </c>
      <c r="V74" t="s">
        <v>31</v>
      </c>
      <c r="W74" t="s">
        <v>46</v>
      </c>
      <c r="Z74" s="28" t="s">
        <v>30</v>
      </c>
    </row>
    <row r="75" spans="1:26" x14ac:dyDescent="0.25">
      <c r="Z75" t="s">
        <v>47</v>
      </c>
    </row>
    <row r="76" spans="1:26" x14ac:dyDescent="0.25">
      <c r="A76" t="s">
        <v>41</v>
      </c>
      <c r="B76" t="s">
        <v>33</v>
      </c>
      <c r="C76" t="s">
        <v>33</v>
      </c>
      <c r="E76" t="s">
        <v>41</v>
      </c>
      <c r="F76" t="s">
        <v>33</v>
      </c>
      <c r="G76" t="s">
        <v>33</v>
      </c>
      <c r="I76" t="s">
        <v>41</v>
      </c>
      <c r="J76" t="s">
        <v>33</v>
      </c>
      <c r="K76" t="s">
        <v>33</v>
      </c>
      <c r="M76" t="s">
        <v>33</v>
      </c>
      <c r="N76" t="s">
        <v>33</v>
      </c>
      <c r="O76" t="s">
        <v>48</v>
      </c>
      <c r="Q76" t="s">
        <v>33</v>
      </c>
      <c r="R76" t="s">
        <v>33</v>
      </c>
      <c r="S76" t="s">
        <v>48</v>
      </c>
      <c r="U76" t="s">
        <v>33</v>
      </c>
      <c r="V76" t="s">
        <v>33</v>
      </c>
      <c r="W76" t="s">
        <v>48</v>
      </c>
      <c r="Z76" s="28" t="s">
        <v>33</v>
      </c>
    </row>
    <row r="77" spans="1:26" x14ac:dyDescent="0.25">
      <c r="A77">
        <v>0.628</v>
      </c>
      <c r="B77">
        <v>65317</v>
      </c>
      <c r="C77">
        <v>36225</v>
      </c>
      <c r="E77">
        <v>0.628</v>
      </c>
      <c r="F77">
        <v>63801</v>
      </c>
      <c r="G77">
        <v>35610</v>
      </c>
      <c r="I77">
        <v>0.628</v>
      </c>
      <c r="J77" s="26">
        <v>157550</v>
      </c>
      <c r="K77">
        <v>88405</v>
      </c>
      <c r="M77" s="26">
        <v>135140</v>
      </c>
      <c r="N77">
        <v>78528</v>
      </c>
      <c r="O77">
        <v>0.58099999999999996</v>
      </c>
      <c r="Q77" s="26">
        <v>127900</v>
      </c>
      <c r="R77">
        <v>69769</v>
      </c>
      <c r="S77">
        <v>0.54600000000000004</v>
      </c>
      <c r="U77">
        <v>81047</v>
      </c>
      <c r="V77">
        <v>36619</v>
      </c>
      <c r="W77">
        <v>0.45200000000000001</v>
      </c>
      <c r="Z77" s="25">
        <f t="shared" ref="Z77:Z95" si="0">AVERAGE(B77,F77,J77,M77,Q77,U77)</f>
        <v>105125.83333333333</v>
      </c>
    </row>
    <row r="78" spans="1:26" x14ac:dyDescent="0.25">
      <c r="A78">
        <v>0.92200000000000004</v>
      </c>
      <c r="B78">
        <v>77602</v>
      </c>
      <c r="C78">
        <v>39266</v>
      </c>
      <c r="E78">
        <v>0.92200000000000004</v>
      </c>
      <c r="F78">
        <v>76954</v>
      </c>
      <c r="G78">
        <v>38947</v>
      </c>
      <c r="I78">
        <v>0.92200000000000004</v>
      </c>
      <c r="J78" s="26">
        <v>182090</v>
      </c>
      <c r="K78">
        <v>96160</v>
      </c>
      <c r="M78" s="26">
        <v>163530</v>
      </c>
      <c r="N78">
        <v>82892</v>
      </c>
      <c r="O78">
        <v>0.50700000000000001</v>
      </c>
      <c r="Q78" s="26">
        <v>154370</v>
      </c>
      <c r="R78">
        <v>73715</v>
      </c>
      <c r="S78">
        <v>0.47799999999999998</v>
      </c>
      <c r="U78">
        <v>95041</v>
      </c>
      <c r="V78">
        <v>38692</v>
      </c>
      <c r="W78">
        <v>0.40699999999999997</v>
      </c>
      <c r="Z78" s="25">
        <f t="shared" si="0"/>
        <v>124931.16666666667</v>
      </c>
    </row>
    <row r="79" spans="1:26" x14ac:dyDescent="0.25">
      <c r="A79">
        <v>1.35</v>
      </c>
      <c r="B79">
        <v>88720</v>
      </c>
      <c r="C79">
        <v>42820</v>
      </c>
      <c r="E79">
        <v>1.35</v>
      </c>
      <c r="F79">
        <v>88536</v>
      </c>
      <c r="G79">
        <v>42875</v>
      </c>
      <c r="I79">
        <v>1.35</v>
      </c>
      <c r="J79" s="26">
        <v>208710</v>
      </c>
      <c r="K79" s="26">
        <v>103300</v>
      </c>
      <c r="M79" s="26">
        <v>183470</v>
      </c>
      <c r="N79">
        <v>90946</v>
      </c>
      <c r="O79">
        <v>0.496</v>
      </c>
      <c r="Q79" s="26">
        <v>172500</v>
      </c>
      <c r="R79">
        <v>79367</v>
      </c>
      <c r="S79">
        <v>0.46</v>
      </c>
      <c r="U79" s="26">
        <v>102170</v>
      </c>
      <c r="V79">
        <v>43782</v>
      </c>
      <c r="W79">
        <v>0.42899999999999999</v>
      </c>
      <c r="Z79" s="25">
        <f t="shared" si="0"/>
        <v>140684.33333333334</v>
      </c>
    </row>
    <row r="80" spans="1:26" x14ac:dyDescent="0.25">
      <c r="A80">
        <v>1.99</v>
      </c>
      <c r="B80">
        <v>99649</v>
      </c>
      <c r="C80">
        <v>46900</v>
      </c>
      <c r="E80">
        <v>1.99</v>
      </c>
      <c r="F80" s="26">
        <v>100020</v>
      </c>
      <c r="G80">
        <v>47360</v>
      </c>
      <c r="I80">
        <v>1.99</v>
      </c>
      <c r="J80" s="26">
        <v>235570</v>
      </c>
      <c r="K80" s="26">
        <v>112920</v>
      </c>
      <c r="M80" s="26">
        <v>206010</v>
      </c>
      <c r="N80">
        <v>97835</v>
      </c>
      <c r="O80">
        <v>0.47499999999999998</v>
      </c>
      <c r="Q80" s="26">
        <v>192590</v>
      </c>
      <c r="R80">
        <v>86025</v>
      </c>
      <c r="S80">
        <v>0.44700000000000001</v>
      </c>
      <c r="U80" s="26">
        <v>112530</v>
      </c>
      <c r="V80">
        <v>46865</v>
      </c>
      <c r="W80">
        <v>0.41599999999999998</v>
      </c>
      <c r="Z80" s="25">
        <f t="shared" si="0"/>
        <v>157728.16666666666</v>
      </c>
    </row>
    <row r="81" spans="1:26" x14ac:dyDescent="0.25">
      <c r="A81">
        <v>2.92</v>
      </c>
      <c r="B81" s="26">
        <v>111260</v>
      </c>
      <c r="C81">
        <v>51726</v>
      </c>
      <c r="E81">
        <v>2.92</v>
      </c>
      <c r="F81" s="26">
        <v>111780</v>
      </c>
      <c r="G81">
        <v>52534</v>
      </c>
      <c r="I81">
        <v>2.92</v>
      </c>
      <c r="J81" s="26">
        <v>262980</v>
      </c>
      <c r="K81" s="26">
        <v>122940</v>
      </c>
      <c r="M81" s="26">
        <v>228360</v>
      </c>
      <c r="N81" s="26">
        <v>107050</v>
      </c>
      <c r="O81">
        <v>0.46899999999999997</v>
      </c>
      <c r="Q81" s="26">
        <v>213350</v>
      </c>
      <c r="R81">
        <v>94444</v>
      </c>
      <c r="S81">
        <v>0.443</v>
      </c>
      <c r="U81" s="26">
        <v>122970</v>
      </c>
      <c r="V81">
        <v>51227</v>
      </c>
      <c r="W81">
        <v>0.41699999999999998</v>
      </c>
      <c r="Z81" s="25">
        <f t="shared" si="0"/>
        <v>175116.66666666666</v>
      </c>
    </row>
    <row r="82" spans="1:26" x14ac:dyDescent="0.25">
      <c r="A82">
        <v>4.28</v>
      </c>
      <c r="B82" s="26">
        <v>123370</v>
      </c>
      <c r="C82">
        <v>57538</v>
      </c>
      <c r="E82">
        <v>4.28</v>
      </c>
      <c r="F82" s="26">
        <v>124620</v>
      </c>
      <c r="G82">
        <v>58897</v>
      </c>
      <c r="I82">
        <v>4.28</v>
      </c>
      <c r="J82" s="26">
        <v>292110</v>
      </c>
      <c r="K82" s="26">
        <v>134990</v>
      </c>
      <c r="M82" s="26">
        <v>253610</v>
      </c>
      <c r="N82" s="26">
        <v>117660</v>
      </c>
      <c r="O82">
        <v>0.46400000000000002</v>
      </c>
      <c r="Q82" s="26">
        <v>234720</v>
      </c>
      <c r="R82" s="26">
        <v>102500</v>
      </c>
      <c r="S82">
        <v>0.437</v>
      </c>
      <c r="U82" s="26">
        <v>134320</v>
      </c>
      <c r="V82">
        <v>55919</v>
      </c>
      <c r="W82">
        <v>0.41599999999999998</v>
      </c>
      <c r="Z82" s="25">
        <f t="shared" si="0"/>
        <v>193791.66666666666</v>
      </c>
    </row>
    <row r="83" spans="1:26" x14ac:dyDescent="0.25">
      <c r="A83">
        <v>6.28</v>
      </c>
      <c r="B83" s="26">
        <v>136950</v>
      </c>
      <c r="C83">
        <v>64701</v>
      </c>
      <c r="E83">
        <v>6.28</v>
      </c>
      <c r="F83" s="26">
        <v>138590</v>
      </c>
      <c r="G83">
        <v>66448</v>
      </c>
      <c r="I83">
        <v>6.28</v>
      </c>
      <c r="J83" s="26">
        <v>322510</v>
      </c>
      <c r="K83" s="26">
        <v>149090</v>
      </c>
      <c r="M83" s="26">
        <v>280340</v>
      </c>
      <c r="N83" s="26">
        <v>130250</v>
      </c>
      <c r="O83">
        <v>0.46500000000000002</v>
      </c>
      <c r="Q83" s="26">
        <v>257640</v>
      </c>
      <c r="R83" s="26">
        <v>113190</v>
      </c>
      <c r="S83">
        <v>0.439</v>
      </c>
      <c r="U83" s="26">
        <v>146310</v>
      </c>
      <c r="V83">
        <v>61476</v>
      </c>
      <c r="W83">
        <v>0.42</v>
      </c>
      <c r="Z83" s="25">
        <f t="shared" si="0"/>
        <v>213723.33333333334</v>
      </c>
    </row>
    <row r="84" spans="1:26" x14ac:dyDescent="0.25">
      <c r="A84">
        <v>9.2200000000000006</v>
      </c>
      <c r="B84" s="26">
        <v>151850</v>
      </c>
      <c r="C84">
        <v>73134</v>
      </c>
      <c r="E84">
        <v>9.2200000000000006</v>
      </c>
      <c r="F84" s="26">
        <v>153690</v>
      </c>
      <c r="G84">
        <v>75417</v>
      </c>
      <c r="I84">
        <v>9.2200000000000006</v>
      </c>
      <c r="J84" s="26">
        <v>355320</v>
      </c>
      <c r="K84" s="26">
        <v>165120</v>
      </c>
      <c r="M84" s="26">
        <v>309390</v>
      </c>
      <c r="N84" s="26">
        <v>144590</v>
      </c>
      <c r="O84">
        <v>0.46700000000000003</v>
      </c>
      <c r="Q84" s="26">
        <v>282990</v>
      </c>
      <c r="R84" s="26">
        <v>125340</v>
      </c>
      <c r="S84">
        <v>0.443</v>
      </c>
      <c r="U84" s="26">
        <v>159170</v>
      </c>
      <c r="V84">
        <v>67818</v>
      </c>
      <c r="W84">
        <v>0.42599999999999999</v>
      </c>
      <c r="Z84" s="25">
        <f t="shared" si="0"/>
        <v>235401.66666666666</v>
      </c>
    </row>
    <row r="85" spans="1:26" x14ac:dyDescent="0.25">
      <c r="A85">
        <v>13.5</v>
      </c>
      <c r="B85" s="26">
        <v>168440</v>
      </c>
      <c r="C85">
        <v>83197</v>
      </c>
      <c r="E85">
        <v>13.5</v>
      </c>
      <c r="F85" s="26">
        <v>170550</v>
      </c>
      <c r="G85">
        <v>85998</v>
      </c>
      <c r="I85">
        <v>13.5</v>
      </c>
      <c r="J85" s="26">
        <v>391700</v>
      </c>
      <c r="K85" s="26">
        <v>183590</v>
      </c>
      <c r="M85" s="26">
        <v>341500</v>
      </c>
      <c r="N85" s="26">
        <v>160990</v>
      </c>
      <c r="O85">
        <v>0.47099999999999997</v>
      </c>
      <c r="Q85" s="26">
        <v>310540</v>
      </c>
      <c r="R85" s="26">
        <v>139090</v>
      </c>
      <c r="S85">
        <v>0.44800000000000001</v>
      </c>
      <c r="U85" s="26">
        <v>173070</v>
      </c>
      <c r="V85">
        <v>74928</v>
      </c>
      <c r="W85">
        <v>0.433</v>
      </c>
      <c r="Z85" s="25">
        <f t="shared" si="0"/>
        <v>259300</v>
      </c>
    </row>
    <row r="86" spans="1:26" x14ac:dyDescent="0.25">
      <c r="A86">
        <v>19.899999999999999</v>
      </c>
      <c r="B86" s="26">
        <v>187250</v>
      </c>
      <c r="C86">
        <v>95212</v>
      </c>
      <c r="E86">
        <v>19.899999999999999</v>
      </c>
      <c r="F86" s="26">
        <v>189460</v>
      </c>
      <c r="G86">
        <v>98517</v>
      </c>
      <c r="I86">
        <v>19.899999999999999</v>
      </c>
      <c r="J86" s="26">
        <v>431600</v>
      </c>
      <c r="K86" s="26">
        <v>204490</v>
      </c>
      <c r="M86" s="26">
        <v>377000</v>
      </c>
      <c r="N86" s="26">
        <v>179580</v>
      </c>
      <c r="O86">
        <v>0.47599999999999998</v>
      </c>
      <c r="Q86" s="26">
        <v>340770</v>
      </c>
      <c r="R86" s="26">
        <v>154670</v>
      </c>
      <c r="S86">
        <v>0.45400000000000001</v>
      </c>
      <c r="U86" s="26">
        <v>187740</v>
      </c>
      <c r="V86">
        <v>82803</v>
      </c>
      <c r="W86">
        <v>0.441</v>
      </c>
      <c r="Z86" s="25">
        <f t="shared" si="0"/>
        <v>285636.66666666669</v>
      </c>
    </row>
    <row r="87" spans="1:26" x14ac:dyDescent="0.25">
      <c r="A87">
        <v>29.2</v>
      </c>
      <c r="B87" s="26">
        <v>208410</v>
      </c>
      <c r="C87" s="26">
        <v>109450</v>
      </c>
      <c r="E87">
        <v>29.2</v>
      </c>
      <c r="F87" s="26">
        <v>210980</v>
      </c>
      <c r="G87" s="26">
        <v>113430</v>
      </c>
      <c r="I87">
        <v>29.2</v>
      </c>
      <c r="J87" s="26">
        <v>475750</v>
      </c>
      <c r="K87" s="26">
        <v>228100</v>
      </c>
      <c r="M87" s="26">
        <v>416500</v>
      </c>
      <c r="N87" s="26">
        <v>200890</v>
      </c>
      <c r="O87">
        <v>0.48199999999999998</v>
      </c>
      <c r="Q87" s="26">
        <v>374310</v>
      </c>
      <c r="R87" s="26">
        <v>172420</v>
      </c>
      <c r="S87">
        <v>0.46100000000000002</v>
      </c>
      <c r="U87" s="26">
        <v>203600</v>
      </c>
      <c r="V87">
        <v>91702</v>
      </c>
      <c r="W87">
        <v>0.45</v>
      </c>
      <c r="Z87" s="25">
        <f t="shared" si="0"/>
        <v>314925</v>
      </c>
    </row>
    <row r="88" spans="1:26" x14ac:dyDescent="0.25">
      <c r="A88">
        <v>42.8</v>
      </c>
      <c r="B88" s="26">
        <v>232550</v>
      </c>
      <c r="C88" s="26">
        <v>126390</v>
      </c>
      <c r="E88">
        <v>42.8</v>
      </c>
      <c r="F88" s="26">
        <v>235310</v>
      </c>
      <c r="G88" s="26">
        <v>131020</v>
      </c>
      <c r="I88">
        <v>42.8</v>
      </c>
      <c r="J88" s="26">
        <v>524530</v>
      </c>
      <c r="K88" s="26">
        <v>254450</v>
      </c>
      <c r="M88" s="26">
        <v>460360</v>
      </c>
      <c r="N88" s="26">
        <v>224710</v>
      </c>
      <c r="O88">
        <v>0.48799999999999999</v>
      </c>
      <c r="Q88" s="26">
        <v>411000</v>
      </c>
      <c r="R88" s="26">
        <v>192220</v>
      </c>
      <c r="S88">
        <v>0.46800000000000003</v>
      </c>
      <c r="U88" s="26">
        <v>220510</v>
      </c>
      <c r="V88" s="26">
        <v>101640</v>
      </c>
      <c r="W88">
        <v>0.46100000000000002</v>
      </c>
      <c r="Z88" s="25">
        <f t="shared" si="0"/>
        <v>347376.66666666669</v>
      </c>
    </row>
    <row r="89" spans="1:26" x14ac:dyDescent="0.25">
      <c r="A89">
        <v>62.8</v>
      </c>
      <c r="B89" s="26">
        <v>260260</v>
      </c>
      <c r="C89" s="26">
        <v>146500</v>
      </c>
      <c r="E89">
        <v>62.8</v>
      </c>
      <c r="F89" s="26">
        <v>263110</v>
      </c>
      <c r="G89" s="26">
        <v>151990</v>
      </c>
      <c r="I89">
        <v>62.8</v>
      </c>
      <c r="J89" s="26">
        <v>578100</v>
      </c>
      <c r="K89" s="26">
        <v>283520</v>
      </c>
      <c r="M89" s="26">
        <v>509320</v>
      </c>
      <c r="N89" s="26">
        <v>251360</v>
      </c>
      <c r="O89">
        <v>0.49399999999999999</v>
      </c>
      <c r="Q89" s="26">
        <v>451630</v>
      </c>
      <c r="R89" s="26">
        <v>214520</v>
      </c>
      <c r="S89">
        <v>0.47499999999999998</v>
      </c>
      <c r="U89" s="26">
        <v>238390</v>
      </c>
      <c r="V89" s="26">
        <v>112200</v>
      </c>
      <c r="W89">
        <v>0.47099999999999997</v>
      </c>
      <c r="Z89" s="25">
        <f t="shared" si="0"/>
        <v>383468.33333333331</v>
      </c>
    </row>
    <row r="90" spans="1:26" x14ac:dyDescent="0.25">
      <c r="A90">
        <v>92.2</v>
      </c>
      <c r="B90" s="26">
        <v>292240</v>
      </c>
      <c r="C90" s="26">
        <v>170520</v>
      </c>
      <c r="E90">
        <v>92.2</v>
      </c>
      <c r="F90" s="26">
        <v>295190</v>
      </c>
      <c r="G90" s="26">
        <v>176930</v>
      </c>
      <c r="I90">
        <v>92.2</v>
      </c>
      <c r="J90" s="26">
        <v>636570</v>
      </c>
      <c r="K90" s="26">
        <v>315170</v>
      </c>
      <c r="M90" s="26">
        <v>564070</v>
      </c>
      <c r="N90" s="26">
        <v>281180</v>
      </c>
      <c r="O90">
        <v>0.498</v>
      </c>
      <c r="Q90" s="26">
        <v>495190</v>
      </c>
      <c r="R90" s="26">
        <v>238510</v>
      </c>
      <c r="S90">
        <v>0.48199999999999998</v>
      </c>
      <c r="U90" s="26">
        <v>258370</v>
      </c>
      <c r="V90" s="26">
        <v>123850</v>
      </c>
      <c r="W90">
        <v>0.47899999999999998</v>
      </c>
      <c r="Z90" s="25">
        <f t="shared" si="0"/>
        <v>423605</v>
      </c>
    </row>
    <row r="91" spans="1:26" x14ac:dyDescent="0.25">
      <c r="A91">
        <v>135</v>
      </c>
      <c r="B91" s="26">
        <v>329450</v>
      </c>
      <c r="C91" s="26">
        <v>199180</v>
      </c>
      <c r="E91">
        <v>135</v>
      </c>
      <c r="F91" s="26">
        <v>332270</v>
      </c>
      <c r="G91" s="26">
        <v>206660</v>
      </c>
      <c r="I91">
        <v>135</v>
      </c>
      <c r="J91" s="26">
        <v>699070</v>
      </c>
      <c r="K91" s="26">
        <v>349380</v>
      </c>
      <c r="M91" s="26">
        <v>624850</v>
      </c>
      <c r="N91" s="26">
        <v>313100</v>
      </c>
      <c r="O91">
        <v>0.501</v>
      </c>
      <c r="Q91" s="26">
        <v>542950</v>
      </c>
      <c r="R91" s="26">
        <v>265010</v>
      </c>
      <c r="S91">
        <v>0.48799999999999999</v>
      </c>
      <c r="U91" s="26">
        <v>279340</v>
      </c>
      <c r="V91" s="26">
        <v>136870</v>
      </c>
      <c r="W91">
        <v>0.49</v>
      </c>
      <c r="Z91" s="25">
        <f t="shared" si="0"/>
        <v>467988.33333333331</v>
      </c>
    </row>
    <row r="92" spans="1:26" x14ac:dyDescent="0.25">
      <c r="A92">
        <v>199</v>
      </c>
      <c r="B92" s="26">
        <v>372700</v>
      </c>
      <c r="C92" s="26">
        <v>233130</v>
      </c>
      <c r="E92">
        <v>199</v>
      </c>
      <c r="F92" s="26">
        <v>375640</v>
      </c>
      <c r="G92" s="26">
        <v>242200</v>
      </c>
      <c r="I92">
        <v>199</v>
      </c>
      <c r="J92" s="26">
        <v>765950</v>
      </c>
      <c r="K92" s="26">
        <v>384810</v>
      </c>
      <c r="M92" s="26">
        <v>690620</v>
      </c>
      <c r="N92" s="26">
        <v>348950</v>
      </c>
      <c r="O92">
        <v>0.505</v>
      </c>
      <c r="Q92" s="26">
        <v>591110</v>
      </c>
      <c r="R92" s="26">
        <v>293210</v>
      </c>
      <c r="S92">
        <v>0.496</v>
      </c>
      <c r="U92" s="26">
        <v>301400</v>
      </c>
      <c r="V92" s="26">
        <v>151380</v>
      </c>
      <c r="W92">
        <v>0.502</v>
      </c>
      <c r="Z92" s="25">
        <f t="shared" si="0"/>
        <v>516236.66666666669</v>
      </c>
    </row>
    <row r="93" spans="1:26" x14ac:dyDescent="0.25">
      <c r="A93">
        <v>292</v>
      </c>
      <c r="B93" s="26">
        <v>424880</v>
      </c>
      <c r="C93" s="26">
        <v>274780</v>
      </c>
      <c r="E93">
        <v>292</v>
      </c>
      <c r="F93" s="26">
        <v>427090</v>
      </c>
      <c r="G93" s="26">
        <v>285190</v>
      </c>
      <c r="I93">
        <v>292</v>
      </c>
      <c r="J93" s="26">
        <v>837480</v>
      </c>
      <c r="K93" s="26">
        <v>422440</v>
      </c>
      <c r="M93" s="26">
        <v>763070</v>
      </c>
      <c r="N93" s="26">
        <v>386290</v>
      </c>
      <c r="O93">
        <v>0.50600000000000001</v>
      </c>
      <c r="Q93" s="26">
        <v>633780</v>
      </c>
      <c r="R93" s="26">
        <v>323190</v>
      </c>
      <c r="S93">
        <v>0.51</v>
      </c>
      <c r="U93" s="26">
        <v>322220</v>
      </c>
      <c r="V93" s="26">
        <v>167450</v>
      </c>
      <c r="W93">
        <v>0.52</v>
      </c>
      <c r="Z93" s="25">
        <f t="shared" si="0"/>
        <v>568086.66666666663</v>
      </c>
    </row>
    <row r="94" spans="1:26" x14ac:dyDescent="0.25">
      <c r="A94">
        <v>428</v>
      </c>
      <c r="B94" s="26">
        <v>488760</v>
      </c>
      <c r="C94" s="26">
        <v>325920</v>
      </c>
      <c r="E94">
        <v>428</v>
      </c>
      <c r="F94" s="26">
        <v>489330</v>
      </c>
      <c r="G94" s="26">
        <v>338290</v>
      </c>
      <c r="I94">
        <v>428</v>
      </c>
      <c r="J94" s="26">
        <v>913510</v>
      </c>
      <c r="K94" s="26">
        <v>465530</v>
      </c>
      <c r="M94" s="26">
        <v>840730</v>
      </c>
      <c r="N94" s="26">
        <v>429030</v>
      </c>
      <c r="O94">
        <v>0.51</v>
      </c>
      <c r="Q94" s="26">
        <v>683510</v>
      </c>
      <c r="R94" s="26">
        <v>357570</v>
      </c>
      <c r="S94">
        <v>0.52300000000000002</v>
      </c>
      <c r="U94" s="26">
        <v>338840</v>
      </c>
      <c r="V94" s="26">
        <v>186130</v>
      </c>
      <c r="W94">
        <v>0.54900000000000004</v>
      </c>
      <c r="Z94" s="25">
        <f t="shared" si="0"/>
        <v>625780</v>
      </c>
    </row>
    <row r="95" spans="1:26" x14ac:dyDescent="0.25">
      <c r="A95">
        <v>628</v>
      </c>
      <c r="B95" s="26">
        <v>569190</v>
      </c>
      <c r="C95" s="26">
        <v>393660</v>
      </c>
      <c r="E95">
        <v>628</v>
      </c>
      <c r="F95" s="26">
        <v>565410</v>
      </c>
      <c r="G95" s="26">
        <v>408310</v>
      </c>
      <c r="I95">
        <v>628</v>
      </c>
      <c r="J95" s="26">
        <v>999040</v>
      </c>
      <c r="K95" s="26">
        <v>518200</v>
      </c>
      <c r="M95" s="26">
        <v>922770</v>
      </c>
      <c r="N95" s="26">
        <v>479880</v>
      </c>
      <c r="O95">
        <v>0.52</v>
      </c>
      <c r="Q95" s="26">
        <v>733230</v>
      </c>
      <c r="R95" s="26">
        <v>401340</v>
      </c>
      <c r="S95">
        <v>0.54700000000000004</v>
      </c>
      <c r="U95" s="26">
        <v>334430</v>
      </c>
      <c r="V95" s="26">
        <v>212300</v>
      </c>
      <c r="W95">
        <v>0.63500000000000001</v>
      </c>
      <c r="Z95" s="25">
        <f t="shared" si="0"/>
        <v>687345</v>
      </c>
    </row>
    <row r="96" spans="1:26" x14ac:dyDescent="0.25">
      <c r="A96" s="9" t="s">
        <v>49</v>
      </c>
      <c r="E96" s="9" t="s">
        <v>49</v>
      </c>
      <c r="I96" s="9" t="s">
        <v>49</v>
      </c>
      <c r="M96" s="9" t="s">
        <v>49</v>
      </c>
      <c r="Q96" s="9" t="s">
        <v>49</v>
      </c>
      <c r="U96" s="9" t="s">
        <v>49</v>
      </c>
    </row>
    <row r="97" spans="1:27" x14ac:dyDescent="0.25">
      <c r="A97" s="27" t="s">
        <v>34</v>
      </c>
      <c r="B97" s="26"/>
      <c r="E97" s="27" t="s">
        <v>35</v>
      </c>
      <c r="I97" s="27" t="s">
        <v>36</v>
      </c>
      <c r="M97" s="27" t="s">
        <v>37</v>
      </c>
      <c r="Q97" s="27" t="s">
        <v>38</v>
      </c>
      <c r="U97" s="27" t="s">
        <v>39</v>
      </c>
    </row>
    <row r="98" spans="1:27" x14ac:dyDescent="0.25">
      <c r="A98" t="s">
        <v>40</v>
      </c>
      <c r="B98" t="s">
        <v>30</v>
      </c>
      <c r="C98" t="s">
        <v>31</v>
      </c>
      <c r="E98" t="s">
        <v>40</v>
      </c>
      <c r="F98" t="s">
        <v>30</v>
      </c>
      <c r="G98" t="s">
        <v>31</v>
      </c>
      <c r="I98" t="s">
        <v>40</v>
      </c>
      <c r="J98" t="s">
        <v>30</v>
      </c>
      <c r="K98" t="s">
        <v>31</v>
      </c>
      <c r="M98" t="s">
        <v>40</v>
      </c>
      <c r="N98" t="s">
        <v>30</v>
      </c>
      <c r="O98" t="s">
        <v>31</v>
      </c>
      <c r="Q98" t="s">
        <v>40</v>
      </c>
      <c r="R98" t="s">
        <v>30</v>
      </c>
      <c r="S98" t="s">
        <v>31</v>
      </c>
      <c r="U98" t="s">
        <v>43</v>
      </c>
      <c r="V98" t="s">
        <v>40</v>
      </c>
      <c r="W98" t="s">
        <v>30</v>
      </c>
    </row>
    <row r="100" spans="1:27" x14ac:dyDescent="0.25">
      <c r="A100" t="s">
        <v>41</v>
      </c>
      <c r="B100" t="s">
        <v>33</v>
      </c>
      <c r="C100" t="s">
        <v>33</v>
      </c>
      <c r="E100" t="s">
        <v>41</v>
      </c>
      <c r="F100" t="s">
        <v>33</v>
      </c>
      <c r="G100" t="s">
        <v>33</v>
      </c>
      <c r="I100" t="s">
        <v>41</v>
      </c>
      <c r="J100" t="s">
        <v>33</v>
      </c>
      <c r="K100" t="s">
        <v>33</v>
      </c>
      <c r="M100" t="s">
        <v>41</v>
      </c>
      <c r="N100" t="s">
        <v>33</v>
      </c>
      <c r="O100" t="s">
        <v>33</v>
      </c>
      <c r="Q100" t="s">
        <v>41</v>
      </c>
      <c r="R100" t="s">
        <v>33</v>
      </c>
      <c r="S100" t="s">
        <v>33</v>
      </c>
      <c r="V100" t="s">
        <v>41</v>
      </c>
      <c r="W100" t="s">
        <v>33</v>
      </c>
    </row>
    <row r="101" spans="1:27" x14ac:dyDescent="0.25">
      <c r="A101">
        <v>0.628</v>
      </c>
      <c r="B101" s="26">
        <v>272500</v>
      </c>
      <c r="C101" s="26">
        <v>122730</v>
      </c>
      <c r="E101">
        <v>0.628</v>
      </c>
      <c r="F101" s="26">
        <v>164330</v>
      </c>
      <c r="G101">
        <v>75823</v>
      </c>
      <c r="I101">
        <v>0.628</v>
      </c>
      <c r="J101" s="26">
        <v>440610</v>
      </c>
      <c r="K101" s="26">
        <v>212000</v>
      </c>
      <c r="M101">
        <v>0.628</v>
      </c>
      <c r="N101" s="26">
        <v>221980</v>
      </c>
      <c r="O101">
        <v>89099</v>
      </c>
      <c r="Q101">
        <v>0.628</v>
      </c>
      <c r="R101" s="26">
        <v>160240</v>
      </c>
      <c r="S101">
        <v>76421</v>
      </c>
      <c r="U101">
        <v>1</v>
      </c>
      <c r="V101">
        <v>0.628</v>
      </c>
      <c r="W101" s="26">
        <v>829110</v>
      </c>
      <c r="AA101" s="29" t="e">
        <f>(#REF!/#REF!)*100</f>
        <v>#REF!</v>
      </c>
    </row>
    <row r="102" spans="1:27" x14ac:dyDescent="0.25">
      <c r="A102">
        <v>0.92200000000000004</v>
      </c>
      <c r="B102" s="26">
        <v>313560</v>
      </c>
      <c r="C102" s="26">
        <v>128870</v>
      </c>
      <c r="E102">
        <v>0.92200000000000004</v>
      </c>
      <c r="F102" s="26">
        <v>188090</v>
      </c>
      <c r="G102">
        <v>78861</v>
      </c>
      <c r="I102">
        <v>0.92200000000000004</v>
      </c>
      <c r="J102" s="26">
        <v>531690</v>
      </c>
      <c r="K102" s="26">
        <v>229250</v>
      </c>
      <c r="M102">
        <v>0.92200000000000004</v>
      </c>
      <c r="N102" s="26">
        <v>254210</v>
      </c>
      <c r="O102">
        <v>89948</v>
      </c>
      <c r="Q102">
        <v>0.92200000000000004</v>
      </c>
      <c r="R102" s="26">
        <v>185040</v>
      </c>
      <c r="S102">
        <v>80260</v>
      </c>
      <c r="U102">
        <v>2</v>
      </c>
      <c r="V102">
        <v>0.92200000000000004</v>
      </c>
      <c r="W102" s="26">
        <v>971720</v>
      </c>
      <c r="AA102" s="29" t="e">
        <f>(#REF!/#REF!)*100</f>
        <v>#REF!</v>
      </c>
    </row>
    <row r="103" spans="1:27" x14ac:dyDescent="0.25">
      <c r="A103">
        <v>1.35</v>
      </c>
      <c r="B103" s="26">
        <v>346160</v>
      </c>
      <c r="C103" s="26">
        <v>135630</v>
      </c>
      <c r="E103">
        <v>1.35</v>
      </c>
      <c r="F103" s="26">
        <v>206750</v>
      </c>
      <c r="G103">
        <v>82061</v>
      </c>
      <c r="I103">
        <v>1.35</v>
      </c>
      <c r="J103" s="26">
        <v>599490</v>
      </c>
      <c r="K103" s="26">
        <v>244930</v>
      </c>
      <c r="M103">
        <v>1.35</v>
      </c>
      <c r="N103" s="26">
        <v>275070</v>
      </c>
      <c r="O103">
        <v>91711</v>
      </c>
      <c r="Q103">
        <v>1.35</v>
      </c>
      <c r="R103" s="26">
        <v>201260</v>
      </c>
      <c r="S103">
        <v>83186</v>
      </c>
      <c r="U103">
        <v>3</v>
      </c>
      <c r="V103">
        <v>1.35</v>
      </c>
      <c r="W103" s="26">
        <v>1083100</v>
      </c>
      <c r="AA103" s="29" t="e">
        <f>(#REF!/#REF!)*100</f>
        <v>#REF!</v>
      </c>
    </row>
    <row r="104" spans="1:27" x14ac:dyDescent="0.25">
      <c r="A104">
        <v>1.99</v>
      </c>
      <c r="B104" s="26">
        <v>375830</v>
      </c>
      <c r="C104" s="26">
        <v>142280</v>
      </c>
      <c r="E104">
        <v>1.99</v>
      </c>
      <c r="F104" s="26">
        <v>225150</v>
      </c>
      <c r="G104">
        <v>86636</v>
      </c>
      <c r="I104">
        <v>1.99</v>
      </c>
      <c r="J104" s="26">
        <v>661010</v>
      </c>
      <c r="K104" s="26">
        <v>263490</v>
      </c>
      <c r="M104">
        <v>1.99</v>
      </c>
      <c r="N104" s="26">
        <v>293890</v>
      </c>
      <c r="O104">
        <v>94811</v>
      </c>
      <c r="Q104">
        <v>1.99</v>
      </c>
      <c r="R104" s="26">
        <v>216390</v>
      </c>
      <c r="S104">
        <v>87680</v>
      </c>
      <c r="U104">
        <v>4</v>
      </c>
      <c r="V104">
        <v>1.99</v>
      </c>
      <c r="W104" s="26">
        <v>1184700</v>
      </c>
      <c r="AA104" s="29" t="e">
        <f>(#REF!/#REF!)*100</f>
        <v>#REF!</v>
      </c>
    </row>
    <row r="105" spans="1:27" x14ac:dyDescent="0.25">
      <c r="A105">
        <v>2.92</v>
      </c>
      <c r="B105" s="26">
        <v>405470</v>
      </c>
      <c r="C105" s="26">
        <v>150040</v>
      </c>
      <c r="E105">
        <v>2.92</v>
      </c>
      <c r="F105" s="26">
        <v>242960</v>
      </c>
      <c r="G105">
        <v>91668</v>
      </c>
      <c r="I105">
        <v>2.92</v>
      </c>
      <c r="J105" s="26">
        <v>722430</v>
      </c>
      <c r="K105" s="26">
        <v>284400</v>
      </c>
      <c r="M105">
        <v>2.92</v>
      </c>
      <c r="N105" s="26">
        <v>313020</v>
      </c>
      <c r="O105">
        <v>97090</v>
      </c>
      <c r="Q105">
        <v>2.92</v>
      </c>
      <c r="R105" s="26">
        <v>231400</v>
      </c>
      <c r="S105">
        <v>92780</v>
      </c>
      <c r="U105">
        <v>5</v>
      </c>
      <c r="V105">
        <v>2.92</v>
      </c>
      <c r="W105" s="26">
        <v>1282800</v>
      </c>
      <c r="AA105" s="29" t="e">
        <f>(#REF!/#REF!)*100</f>
        <v>#REF!</v>
      </c>
    </row>
    <row r="106" spans="1:27" x14ac:dyDescent="0.25">
      <c r="A106">
        <v>4.28</v>
      </c>
      <c r="B106" s="26">
        <v>435700</v>
      </c>
      <c r="C106" s="26">
        <v>159300</v>
      </c>
      <c r="E106">
        <v>4.28</v>
      </c>
      <c r="F106" s="26">
        <v>260240</v>
      </c>
      <c r="G106">
        <v>97720</v>
      </c>
      <c r="I106">
        <v>4.28</v>
      </c>
      <c r="J106" s="26">
        <v>784900</v>
      </c>
      <c r="K106" s="26">
        <v>307530</v>
      </c>
      <c r="M106">
        <v>4.28</v>
      </c>
      <c r="N106" s="26">
        <v>331850</v>
      </c>
      <c r="O106" s="26">
        <v>101050</v>
      </c>
      <c r="Q106">
        <v>4.28</v>
      </c>
      <c r="R106" s="26">
        <v>245530</v>
      </c>
      <c r="S106">
        <v>97860</v>
      </c>
      <c r="U106">
        <v>6</v>
      </c>
      <c r="V106">
        <v>4.28</v>
      </c>
      <c r="W106" s="26">
        <v>1383500</v>
      </c>
      <c r="AA106" s="29" t="e">
        <f>(#REF!/#REF!)*100</f>
        <v>#REF!</v>
      </c>
    </row>
    <row r="107" spans="1:27" x14ac:dyDescent="0.25">
      <c r="A107">
        <v>6.28</v>
      </c>
      <c r="B107" s="26">
        <v>467710</v>
      </c>
      <c r="C107" s="26">
        <v>169700</v>
      </c>
      <c r="E107">
        <v>6.28</v>
      </c>
      <c r="F107" s="26">
        <v>277960</v>
      </c>
      <c r="G107" s="26">
        <v>104290</v>
      </c>
      <c r="I107">
        <v>6.28</v>
      </c>
      <c r="J107" s="26">
        <v>850480</v>
      </c>
      <c r="K107" s="26">
        <v>333670</v>
      </c>
      <c r="M107">
        <v>6.28</v>
      </c>
      <c r="N107" s="26">
        <v>347960</v>
      </c>
      <c r="O107" s="26">
        <v>106090</v>
      </c>
      <c r="Q107">
        <v>6.28</v>
      </c>
      <c r="R107" s="26">
        <v>258710</v>
      </c>
      <c r="S107" s="26">
        <v>102590</v>
      </c>
      <c r="U107">
        <v>7</v>
      </c>
      <c r="V107">
        <v>6.28</v>
      </c>
      <c r="W107" s="26">
        <v>1486700</v>
      </c>
      <c r="AA107" s="29" t="e">
        <f>(#REF!/#REF!)*100</f>
        <v>#REF!</v>
      </c>
    </row>
    <row r="108" spans="1:27" x14ac:dyDescent="0.25">
      <c r="A108">
        <v>9.2200000000000006</v>
      </c>
      <c r="B108" s="26">
        <v>500460</v>
      </c>
      <c r="C108" s="26">
        <v>181460</v>
      </c>
      <c r="E108">
        <v>9.2200000000000006</v>
      </c>
      <c r="F108" s="26">
        <v>295860</v>
      </c>
      <c r="G108" s="26">
        <v>111420</v>
      </c>
      <c r="I108">
        <v>9.2200000000000006</v>
      </c>
      <c r="J108" s="26">
        <v>917810</v>
      </c>
      <c r="K108" s="26">
        <v>362360</v>
      </c>
      <c r="M108">
        <v>9.2200000000000006</v>
      </c>
      <c r="N108" s="26">
        <v>364650</v>
      </c>
      <c r="O108" s="26">
        <v>110330</v>
      </c>
      <c r="Q108">
        <v>9.2200000000000006</v>
      </c>
      <c r="R108" s="26">
        <v>273600</v>
      </c>
      <c r="S108" s="26">
        <v>108260</v>
      </c>
      <c r="U108">
        <v>8</v>
      </c>
      <c r="V108">
        <v>9.2200000000000006</v>
      </c>
      <c r="W108" s="26">
        <v>1590200</v>
      </c>
      <c r="AA108" s="29" t="e">
        <f>(#REF!/#REF!)*100</f>
        <v>#REF!</v>
      </c>
    </row>
    <row r="109" spans="1:27" x14ac:dyDescent="0.25">
      <c r="A109">
        <v>13.5</v>
      </c>
      <c r="B109" s="26">
        <v>534400</v>
      </c>
      <c r="C109" s="26">
        <v>194380</v>
      </c>
      <c r="E109">
        <v>13.5</v>
      </c>
      <c r="F109" s="26">
        <v>314690</v>
      </c>
      <c r="G109" s="26">
        <v>119190</v>
      </c>
      <c r="I109">
        <v>13.5</v>
      </c>
      <c r="J109" s="26">
        <v>989830</v>
      </c>
      <c r="K109" s="26">
        <v>394370</v>
      </c>
      <c r="M109">
        <v>13.5</v>
      </c>
      <c r="N109" s="26">
        <v>384500</v>
      </c>
      <c r="O109" s="26">
        <v>115160</v>
      </c>
      <c r="Q109">
        <v>13.5</v>
      </c>
      <c r="R109" s="26">
        <v>288920</v>
      </c>
      <c r="S109" s="26">
        <v>114130</v>
      </c>
      <c r="U109">
        <v>9</v>
      </c>
      <c r="V109">
        <v>13.5</v>
      </c>
      <c r="W109" s="26">
        <v>1689200</v>
      </c>
      <c r="AA109" s="29" t="e">
        <f>(#REF!/#REF!)*100</f>
        <v>#REF!</v>
      </c>
    </row>
    <row r="110" spans="1:27" x14ac:dyDescent="0.25">
      <c r="A110">
        <v>19.899999999999999</v>
      </c>
      <c r="B110" s="26">
        <v>569160</v>
      </c>
      <c r="C110" s="26">
        <v>208850</v>
      </c>
      <c r="E110">
        <v>19.899999999999999</v>
      </c>
      <c r="F110" s="26">
        <v>334130</v>
      </c>
      <c r="G110" s="26">
        <v>127380</v>
      </c>
      <c r="I110">
        <v>19.899999999999999</v>
      </c>
      <c r="J110" s="26">
        <v>1065900</v>
      </c>
      <c r="K110" s="26">
        <v>430170</v>
      </c>
      <c r="M110">
        <v>19.899999999999999</v>
      </c>
      <c r="N110" s="26">
        <v>405870</v>
      </c>
      <c r="O110" s="26">
        <v>120670</v>
      </c>
      <c r="Q110">
        <v>19.899999999999999</v>
      </c>
      <c r="R110" s="26">
        <v>305110</v>
      </c>
      <c r="S110" s="26">
        <v>120570</v>
      </c>
      <c r="U110">
        <v>10</v>
      </c>
      <c r="V110">
        <v>19.899999999999999</v>
      </c>
      <c r="W110" s="26">
        <v>1774900</v>
      </c>
      <c r="AA110" s="29" t="e">
        <f>(#REF!/#REF!)*100</f>
        <v>#REF!</v>
      </c>
    </row>
    <row r="111" spans="1:27" x14ac:dyDescent="0.25">
      <c r="A111">
        <v>29.2</v>
      </c>
      <c r="B111" s="26">
        <v>604150</v>
      </c>
      <c r="C111" s="26">
        <v>224270</v>
      </c>
      <c r="E111">
        <v>29.2</v>
      </c>
      <c r="F111" s="26">
        <v>353040</v>
      </c>
      <c r="G111" s="26">
        <v>135930</v>
      </c>
      <c r="I111">
        <v>29.2</v>
      </c>
      <c r="J111" s="26">
        <v>1147100</v>
      </c>
      <c r="K111" s="26">
        <v>469520</v>
      </c>
      <c r="M111">
        <v>29.2</v>
      </c>
      <c r="N111" s="26">
        <v>428420</v>
      </c>
      <c r="O111" s="26">
        <v>126640</v>
      </c>
      <c r="Q111">
        <v>29.2</v>
      </c>
      <c r="R111" s="26">
        <v>321950</v>
      </c>
      <c r="S111" s="26">
        <v>127380</v>
      </c>
      <c r="U111">
        <v>11</v>
      </c>
      <c r="V111">
        <v>29.2</v>
      </c>
      <c r="W111" s="26">
        <v>1841700</v>
      </c>
      <c r="AA111" s="29" t="e">
        <f>(#REF!/#REF!)*100</f>
        <v>#REF!</v>
      </c>
    </row>
    <row r="112" spans="1:27" x14ac:dyDescent="0.25">
      <c r="A112">
        <v>42.8</v>
      </c>
      <c r="B112" s="26">
        <v>641390</v>
      </c>
      <c r="C112" s="26">
        <v>239690</v>
      </c>
      <c r="E112">
        <v>42.8</v>
      </c>
      <c r="F112" s="26">
        <v>371460</v>
      </c>
      <c r="G112" s="26">
        <v>144930</v>
      </c>
      <c r="I112">
        <v>42.8</v>
      </c>
      <c r="J112" s="26">
        <v>1234500</v>
      </c>
      <c r="K112" s="26">
        <v>512840</v>
      </c>
      <c r="M112">
        <v>42.8</v>
      </c>
      <c r="N112" s="26">
        <v>452110</v>
      </c>
      <c r="O112" s="26">
        <v>132910</v>
      </c>
      <c r="Q112">
        <v>42.8</v>
      </c>
      <c r="R112" s="26">
        <v>339040</v>
      </c>
      <c r="S112" s="26">
        <v>134780</v>
      </c>
      <c r="U112">
        <v>12</v>
      </c>
      <c r="V112">
        <v>42.8</v>
      </c>
      <c r="W112" s="26">
        <v>1915200</v>
      </c>
      <c r="AA112" s="29" t="e">
        <f>(#REF!/#REF!)*100</f>
        <v>#REF!</v>
      </c>
    </row>
    <row r="113" spans="1:27" x14ac:dyDescent="0.25">
      <c r="A113">
        <v>62.8</v>
      </c>
      <c r="B113" s="26">
        <v>681800</v>
      </c>
      <c r="C113" s="26">
        <v>256050</v>
      </c>
      <c r="E113">
        <v>62.8</v>
      </c>
      <c r="F113" s="26">
        <v>386560</v>
      </c>
      <c r="G113" s="26">
        <v>153440</v>
      </c>
      <c r="I113">
        <v>62.8</v>
      </c>
      <c r="J113" s="26">
        <v>1327500</v>
      </c>
      <c r="K113" s="26">
        <v>560010</v>
      </c>
      <c r="M113">
        <v>62.8</v>
      </c>
      <c r="N113" s="26">
        <v>476830</v>
      </c>
      <c r="O113" s="26">
        <v>139470</v>
      </c>
      <c r="Q113">
        <v>62.8</v>
      </c>
      <c r="R113" s="26">
        <v>356710</v>
      </c>
      <c r="S113" s="26">
        <v>142360</v>
      </c>
      <c r="U113">
        <v>13</v>
      </c>
      <c r="V113">
        <v>62.8</v>
      </c>
      <c r="W113" s="26">
        <v>1996700</v>
      </c>
      <c r="AA113" s="29" t="e">
        <f>(#REF!/#REF!)*100</f>
        <v>#REF!</v>
      </c>
    </row>
    <row r="114" spans="1:27" x14ac:dyDescent="0.25">
      <c r="A114">
        <v>92.2</v>
      </c>
      <c r="B114" s="26">
        <v>725080</v>
      </c>
      <c r="C114" s="26">
        <v>273190</v>
      </c>
      <c r="E114">
        <v>92.2</v>
      </c>
      <c r="F114" s="26">
        <v>396730</v>
      </c>
      <c r="G114" s="26">
        <v>159490</v>
      </c>
      <c r="I114">
        <v>92.2</v>
      </c>
      <c r="J114" s="26">
        <v>1426400</v>
      </c>
      <c r="K114" s="26">
        <v>610330</v>
      </c>
      <c r="M114">
        <v>92.2</v>
      </c>
      <c r="N114" s="26">
        <v>502700</v>
      </c>
      <c r="O114" s="26">
        <v>146390</v>
      </c>
      <c r="Q114">
        <v>92.2</v>
      </c>
      <c r="R114" s="26">
        <v>372300</v>
      </c>
      <c r="S114" s="26">
        <v>150270</v>
      </c>
      <c r="U114">
        <v>14</v>
      </c>
      <c r="V114">
        <v>92.2</v>
      </c>
      <c r="W114" s="26">
        <v>2078300</v>
      </c>
      <c r="AA114" s="29" t="e">
        <f>(#REF!/#REF!)*100</f>
        <v>#REF!</v>
      </c>
    </row>
    <row r="115" spans="1:27" x14ac:dyDescent="0.25">
      <c r="A115">
        <v>135</v>
      </c>
      <c r="B115" s="26">
        <v>772250</v>
      </c>
      <c r="C115" s="26">
        <v>291820</v>
      </c>
      <c r="E115">
        <v>135</v>
      </c>
      <c r="F115" s="26">
        <v>402330</v>
      </c>
      <c r="G115" s="26">
        <v>163400</v>
      </c>
      <c r="I115">
        <v>135</v>
      </c>
      <c r="J115" s="26">
        <v>1532500</v>
      </c>
      <c r="K115" s="26">
        <v>665320</v>
      </c>
      <c r="M115">
        <v>135</v>
      </c>
      <c r="N115" s="26">
        <v>529780</v>
      </c>
      <c r="O115" s="26">
        <v>153920</v>
      </c>
      <c r="Q115">
        <v>135</v>
      </c>
      <c r="R115" s="26">
        <v>381570</v>
      </c>
      <c r="S115" s="26">
        <v>157210</v>
      </c>
      <c r="U115">
        <v>15</v>
      </c>
      <c r="V115">
        <v>135</v>
      </c>
      <c r="W115" s="26">
        <v>2136300</v>
      </c>
      <c r="AA115" s="29" t="e">
        <f>(#REF!/#REF!)*100</f>
        <v>#REF!</v>
      </c>
    </row>
    <row r="116" spans="1:27" x14ac:dyDescent="0.25">
      <c r="A116">
        <v>199</v>
      </c>
      <c r="B116" s="26">
        <v>821060</v>
      </c>
      <c r="C116" s="26">
        <v>311750</v>
      </c>
      <c r="E116">
        <v>199</v>
      </c>
      <c r="F116" s="26">
        <v>403520</v>
      </c>
      <c r="G116" s="26">
        <v>166930</v>
      </c>
      <c r="I116">
        <v>199</v>
      </c>
      <c r="J116" s="26">
        <v>1651800</v>
      </c>
      <c r="K116" s="26">
        <v>724540</v>
      </c>
      <c r="M116">
        <v>199</v>
      </c>
      <c r="N116" s="26">
        <v>556630</v>
      </c>
      <c r="O116" s="26">
        <v>161530</v>
      </c>
      <c r="Q116">
        <v>199</v>
      </c>
      <c r="R116" s="26">
        <v>389660</v>
      </c>
      <c r="S116" s="26">
        <v>162130</v>
      </c>
      <c r="U116">
        <v>16</v>
      </c>
      <c r="V116">
        <v>199</v>
      </c>
      <c r="W116" s="26">
        <v>2138400</v>
      </c>
      <c r="AA116" s="29" t="e">
        <f>(#REF!/#REF!)*100</f>
        <v>#REF!</v>
      </c>
    </row>
    <row r="117" spans="1:27" x14ac:dyDescent="0.25">
      <c r="A117">
        <v>292</v>
      </c>
      <c r="B117" s="26">
        <v>865230</v>
      </c>
      <c r="C117" s="26">
        <v>331520</v>
      </c>
      <c r="E117">
        <v>292</v>
      </c>
      <c r="F117" s="26">
        <v>404120</v>
      </c>
      <c r="G117" s="26">
        <v>170950</v>
      </c>
      <c r="I117">
        <v>292</v>
      </c>
      <c r="J117" s="26">
        <v>1785900</v>
      </c>
      <c r="K117" s="26">
        <v>791630</v>
      </c>
      <c r="M117">
        <v>292</v>
      </c>
      <c r="N117" s="26">
        <v>581670</v>
      </c>
      <c r="O117" s="26">
        <v>170500</v>
      </c>
      <c r="Q117">
        <v>292</v>
      </c>
      <c r="R117" s="26">
        <v>396790</v>
      </c>
      <c r="S117" s="26">
        <v>169840</v>
      </c>
      <c r="U117">
        <v>17</v>
      </c>
      <c r="V117">
        <v>292</v>
      </c>
      <c r="W117" s="26">
        <v>2204600</v>
      </c>
      <c r="AA117" s="29" t="e">
        <f>(#REF!/#REF!)*100</f>
        <v>#REF!</v>
      </c>
    </row>
    <row r="118" spans="1:27" x14ac:dyDescent="0.25">
      <c r="A118">
        <v>428</v>
      </c>
      <c r="B118" s="26">
        <v>899460</v>
      </c>
      <c r="C118" s="26">
        <v>351150</v>
      </c>
      <c r="E118">
        <v>428</v>
      </c>
      <c r="F118" s="26">
        <v>402570</v>
      </c>
      <c r="G118" s="26">
        <v>169590</v>
      </c>
      <c r="I118">
        <v>428</v>
      </c>
      <c r="J118" s="26">
        <v>1937600</v>
      </c>
      <c r="K118" s="26">
        <v>867480</v>
      </c>
      <c r="M118">
        <v>428</v>
      </c>
      <c r="N118" s="26">
        <v>601440</v>
      </c>
      <c r="O118" s="26">
        <v>180190</v>
      </c>
      <c r="Q118">
        <v>428</v>
      </c>
      <c r="R118" s="26">
        <v>397580</v>
      </c>
      <c r="S118" s="26">
        <v>173900</v>
      </c>
      <c r="U118">
        <v>18</v>
      </c>
      <c r="V118">
        <v>428</v>
      </c>
      <c r="W118" s="26">
        <v>2225900</v>
      </c>
      <c r="AA118" s="29" t="e">
        <f>(#REF!/#REF!)*100</f>
        <v>#REF!</v>
      </c>
    </row>
    <row r="119" spans="1:27" x14ac:dyDescent="0.25">
      <c r="A119">
        <v>628</v>
      </c>
      <c r="B119" s="26">
        <v>941710</v>
      </c>
      <c r="C119" s="26">
        <v>374260</v>
      </c>
      <c r="E119">
        <v>628</v>
      </c>
      <c r="F119" s="26">
        <v>399760</v>
      </c>
      <c r="G119" s="26">
        <v>174270</v>
      </c>
      <c r="I119">
        <v>628</v>
      </c>
      <c r="J119" s="26">
        <v>2091100</v>
      </c>
      <c r="K119" s="26">
        <v>963430</v>
      </c>
      <c r="M119">
        <v>628</v>
      </c>
      <c r="N119" s="26">
        <v>598800</v>
      </c>
      <c r="O119" s="26">
        <v>195030</v>
      </c>
      <c r="Q119">
        <v>628</v>
      </c>
      <c r="R119" s="26">
        <v>354190</v>
      </c>
      <c r="S119" s="26">
        <v>178720</v>
      </c>
      <c r="U119">
        <v>19</v>
      </c>
      <c r="V119">
        <v>628</v>
      </c>
      <c r="W119" s="26">
        <v>2301300</v>
      </c>
      <c r="AA119" s="29" t="e">
        <f>(#REF!/#REF!)*100</f>
        <v>#REF!</v>
      </c>
    </row>
    <row r="120" spans="1:27" x14ac:dyDescent="0.25">
      <c r="A120" s="9" t="s">
        <v>50</v>
      </c>
      <c r="E120" s="9" t="s">
        <v>50</v>
      </c>
      <c r="I120" s="9" t="s">
        <v>50</v>
      </c>
      <c r="M120" s="9" t="s">
        <v>50</v>
      </c>
      <c r="Q120" s="9" t="s">
        <v>50</v>
      </c>
      <c r="U120" s="9" t="s">
        <v>50</v>
      </c>
    </row>
    <row r="121" spans="1:27" x14ac:dyDescent="0.25">
      <c r="A121" s="27" t="s">
        <v>34</v>
      </c>
      <c r="B121" s="26"/>
      <c r="E121" s="27" t="s">
        <v>35</v>
      </c>
      <c r="I121" s="27" t="s">
        <v>36</v>
      </c>
      <c r="M121" s="27" t="s">
        <v>37</v>
      </c>
      <c r="Q121" s="27" t="s">
        <v>38</v>
      </c>
      <c r="U121" s="27" t="s">
        <v>39</v>
      </c>
    </row>
    <row r="122" spans="1:27" x14ac:dyDescent="0.25">
      <c r="A122" t="s">
        <v>40</v>
      </c>
      <c r="B122" t="s">
        <v>30</v>
      </c>
      <c r="C122" t="s">
        <v>31</v>
      </c>
      <c r="E122" t="s">
        <v>40</v>
      </c>
      <c r="F122" t="s">
        <v>30</v>
      </c>
      <c r="G122" t="s">
        <v>31</v>
      </c>
      <c r="I122" t="s">
        <v>40</v>
      </c>
      <c r="J122" t="s">
        <v>30</v>
      </c>
      <c r="K122" t="s">
        <v>31</v>
      </c>
      <c r="M122" t="s">
        <v>40</v>
      </c>
      <c r="N122" t="s">
        <v>30</v>
      </c>
      <c r="O122" t="s">
        <v>31</v>
      </c>
      <c r="Q122" t="s">
        <v>40</v>
      </c>
      <c r="R122" t="s">
        <v>30</v>
      </c>
      <c r="S122" t="s">
        <v>31</v>
      </c>
      <c r="U122" t="s">
        <v>40</v>
      </c>
      <c r="V122" t="s">
        <v>30</v>
      </c>
      <c r="W122" t="s">
        <v>31</v>
      </c>
    </row>
    <row r="124" spans="1:27" x14ac:dyDescent="0.25">
      <c r="A124" t="s">
        <v>41</v>
      </c>
      <c r="B124" t="s">
        <v>33</v>
      </c>
      <c r="C124" t="s">
        <v>33</v>
      </c>
      <c r="E124" t="s">
        <v>41</v>
      </c>
      <c r="F124" t="s">
        <v>33</v>
      </c>
      <c r="G124" t="s">
        <v>33</v>
      </c>
      <c r="I124" t="s">
        <v>41</v>
      </c>
      <c r="J124" t="s">
        <v>33</v>
      </c>
      <c r="K124" t="s">
        <v>33</v>
      </c>
      <c r="M124" t="s">
        <v>41</v>
      </c>
      <c r="N124" t="s">
        <v>33</v>
      </c>
      <c r="O124" t="s">
        <v>33</v>
      </c>
      <c r="Q124" t="s">
        <v>41</v>
      </c>
      <c r="R124" t="s">
        <v>33</v>
      </c>
      <c r="S124" t="s">
        <v>33</v>
      </c>
      <c r="U124" t="s">
        <v>41</v>
      </c>
      <c r="V124" t="s">
        <v>33</v>
      </c>
      <c r="W124" t="s">
        <v>33</v>
      </c>
    </row>
    <row r="125" spans="1:27" x14ac:dyDescent="0.25">
      <c r="A125">
        <v>0.628</v>
      </c>
      <c r="B125" s="26">
        <v>125870</v>
      </c>
      <c r="C125">
        <v>68649</v>
      </c>
      <c r="E125">
        <v>0.628</v>
      </c>
      <c r="F125" s="26">
        <v>141610</v>
      </c>
      <c r="G125">
        <v>64466</v>
      </c>
      <c r="I125">
        <v>0.628</v>
      </c>
      <c r="J125">
        <v>92777</v>
      </c>
      <c r="K125">
        <v>41965</v>
      </c>
      <c r="M125">
        <v>0.628</v>
      </c>
      <c r="N125" s="26">
        <v>100920</v>
      </c>
      <c r="O125">
        <v>42701</v>
      </c>
      <c r="Q125">
        <v>0.628</v>
      </c>
      <c r="R125" s="26">
        <v>153970</v>
      </c>
      <c r="S125">
        <v>76669</v>
      </c>
      <c r="U125">
        <v>0.628</v>
      </c>
      <c r="V125" s="26">
        <v>158800</v>
      </c>
      <c r="W125">
        <v>75809</v>
      </c>
      <c r="AA125" s="29" t="e">
        <f>(#REF!/#REF!)*100</f>
        <v>#REF!</v>
      </c>
    </row>
    <row r="126" spans="1:27" x14ac:dyDescent="0.25">
      <c r="A126">
        <v>0.92200000000000004</v>
      </c>
      <c r="B126" s="26">
        <v>148880</v>
      </c>
      <c r="C126">
        <v>68744</v>
      </c>
      <c r="E126">
        <v>0.92200000000000004</v>
      </c>
      <c r="F126" s="26">
        <v>162050</v>
      </c>
      <c r="G126">
        <v>70536</v>
      </c>
      <c r="I126">
        <v>0.92200000000000004</v>
      </c>
      <c r="J126" s="26">
        <v>104170</v>
      </c>
      <c r="K126">
        <v>44041</v>
      </c>
      <c r="M126">
        <v>0.92200000000000004</v>
      </c>
      <c r="N126" s="26">
        <v>114170</v>
      </c>
      <c r="O126">
        <v>47322</v>
      </c>
      <c r="Q126">
        <v>0.92200000000000004</v>
      </c>
      <c r="R126" s="26">
        <v>177010</v>
      </c>
      <c r="S126">
        <v>83365</v>
      </c>
      <c r="U126">
        <v>0.92200000000000004</v>
      </c>
      <c r="V126" s="26">
        <v>180040</v>
      </c>
      <c r="W126">
        <v>81514</v>
      </c>
      <c r="AA126" s="29" t="e">
        <f>(#REF!/#REF!)*100</f>
        <v>#REF!</v>
      </c>
    </row>
    <row r="127" spans="1:27" x14ac:dyDescent="0.25">
      <c r="A127">
        <v>1.35</v>
      </c>
      <c r="B127" s="26">
        <v>167970</v>
      </c>
      <c r="C127">
        <v>76003</v>
      </c>
      <c r="E127">
        <v>1.35</v>
      </c>
      <c r="F127" s="26">
        <v>180420</v>
      </c>
      <c r="G127">
        <v>76602</v>
      </c>
      <c r="I127">
        <v>1.35</v>
      </c>
      <c r="J127" s="26">
        <v>114950</v>
      </c>
      <c r="K127">
        <v>48252</v>
      </c>
      <c r="M127">
        <v>1.35</v>
      </c>
      <c r="N127" s="26">
        <v>124520</v>
      </c>
      <c r="O127">
        <v>49903</v>
      </c>
      <c r="Q127">
        <v>1.35</v>
      </c>
      <c r="R127" s="26">
        <v>199730</v>
      </c>
      <c r="S127">
        <v>88674</v>
      </c>
      <c r="U127">
        <v>1.35</v>
      </c>
      <c r="V127" s="26">
        <v>202300</v>
      </c>
      <c r="W127">
        <v>87713</v>
      </c>
      <c r="AA127" s="29" t="e">
        <f>(#REF!/#REF!)*100</f>
        <v>#REF!</v>
      </c>
    </row>
    <row r="128" spans="1:27" x14ac:dyDescent="0.25">
      <c r="A128">
        <v>1.99</v>
      </c>
      <c r="B128" s="26">
        <v>187220</v>
      </c>
      <c r="C128">
        <v>81445</v>
      </c>
      <c r="E128">
        <v>1.99</v>
      </c>
      <c r="F128" s="26">
        <v>198920</v>
      </c>
      <c r="G128">
        <v>83414</v>
      </c>
      <c r="I128">
        <v>1.99</v>
      </c>
      <c r="J128" s="26">
        <v>126460</v>
      </c>
      <c r="K128">
        <v>52675</v>
      </c>
      <c r="M128">
        <v>1.99</v>
      </c>
      <c r="N128" s="26">
        <v>136340</v>
      </c>
      <c r="O128">
        <v>54330</v>
      </c>
      <c r="Q128">
        <v>1.99</v>
      </c>
      <c r="R128" s="26">
        <v>220730</v>
      </c>
      <c r="S128">
        <v>96280</v>
      </c>
      <c r="U128">
        <v>1.99</v>
      </c>
      <c r="V128" s="26">
        <v>223580</v>
      </c>
      <c r="W128">
        <v>96597</v>
      </c>
      <c r="AA128" s="29" t="e">
        <f>(#REF!/#REF!)*100</f>
        <v>#REF!</v>
      </c>
    </row>
    <row r="129" spans="1:27" x14ac:dyDescent="0.25">
      <c r="A129">
        <v>2.92</v>
      </c>
      <c r="B129" s="26">
        <v>206350</v>
      </c>
      <c r="C129">
        <v>89261</v>
      </c>
      <c r="E129">
        <v>2.92</v>
      </c>
      <c r="F129" s="26">
        <v>218090</v>
      </c>
      <c r="G129">
        <v>91131</v>
      </c>
      <c r="I129">
        <v>2.92</v>
      </c>
      <c r="J129" s="26">
        <v>138390</v>
      </c>
      <c r="K129">
        <v>56935</v>
      </c>
      <c r="M129">
        <v>2.92</v>
      </c>
      <c r="N129" s="26">
        <v>148620</v>
      </c>
      <c r="O129">
        <v>59743</v>
      </c>
      <c r="Q129">
        <v>2.92</v>
      </c>
      <c r="R129" s="26">
        <v>243410</v>
      </c>
      <c r="S129" s="26">
        <v>104820</v>
      </c>
      <c r="U129">
        <v>2.92</v>
      </c>
      <c r="V129" s="26">
        <v>245460</v>
      </c>
      <c r="W129" s="26">
        <v>107490</v>
      </c>
      <c r="AA129" s="29" t="e">
        <f>(#REF!/#REF!)*100</f>
        <v>#REF!</v>
      </c>
    </row>
    <row r="130" spans="1:27" x14ac:dyDescent="0.25">
      <c r="A130">
        <v>4.28</v>
      </c>
      <c r="B130" s="26">
        <v>226160</v>
      </c>
      <c r="C130">
        <v>97122</v>
      </c>
      <c r="E130">
        <v>4.28</v>
      </c>
      <c r="F130" s="26">
        <v>238380</v>
      </c>
      <c r="G130" s="26">
        <v>100590</v>
      </c>
      <c r="I130">
        <v>4.28</v>
      </c>
      <c r="J130" s="26">
        <v>150730</v>
      </c>
      <c r="K130">
        <v>62467</v>
      </c>
      <c r="M130">
        <v>4.28</v>
      </c>
      <c r="N130" s="26">
        <v>161810</v>
      </c>
      <c r="O130">
        <v>65771</v>
      </c>
      <c r="Q130">
        <v>4.28</v>
      </c>
      <c r="R130" s="26">
        <v>267560</v>
      </c>
      <c r="S130" s="26">
        <v>115310</v>
      </c>
      <c r="U130">
        <v>4.28</v>
      </c>
      <c r="V130" s="26">
        <v>271530</v>
      </c>
      <c r="W130" s="26">
        <v>116200</v>
      </c>
      <c r="AA130" s="29" t="e">
        <f>(#REF!/#REF!)*100</f>
        <v>#REF!</v>
      </c>
    </row>
    <row r="131" spans="1:27" x14ac:dyDescent="0.25">
      <c r="A131">
        <v>6.28</v>
      </c>
      <c r="B131" s="26">
        <v>248460</v>
      </c>
      <c r="C131" s="26">
        <v>106970</v>
      </c>
      <c r="E131">
        <v>6.28</v>
      </c>
      <c r="F131" s="26">
        <v>260990</v>
      </c>
      <c r="G131" s="26">
        <v>111050</v>
      </c>
      <c r="I131">
        <v>6.28</v>
      </c>
      <c r="J131" s="26">
        <v>165050</v>
      </c>
      <c r="K131">
        <v>69040</v>
      </c>
      <c r="M131">
        <v>6.28</v>
      </c>
      <c r="N131" s="26">
        <v>176330</v>
      </c>
      <c r="O131">
        <v>72873</v>
      </c>
      <c r="Q131">
        <v>6.28</v>
      </c>
      <c r="R131" s="26">
        <v>293880</v>
      </c>
      <c r="S131" s="26">
        <v>128330</v>
      </c>
      <c r="U131">
        <v>6.28</v>
      </c>
      <c r="V131" s="26">
        <v>298460</v>
      </c>
      <c r="W131" s="26">
        <v>128560</v>
      </c>
      <c r="AA131" s="29" t="e">
        <f>(#REF!/#REF!)*100</f>
        <v>#REF!</v>
      </c>
    </row>
    <row r="132" spans="1:27" x14ac:dyDescent="0.25">
      <c r="A132">
        <v>9.2200000000000006</v>
      </c>
      <c r="B132" s="26">
        <v>272560</v>
      </c>
      <c r="C132" s="26">
        <v>118480</v>
      </c>
      <c r="E132">
        <v>9.2200000000000006</v>
      </c>
      <c r="F132" s="26">
        <v>285640</v>
      </c>
      <c r="G132" s="26">
        <v>123430</v>
      </c>
      <c r="I132">
        <v>9.2200000000000006</v>
      </c>
      <c r="J132" s="26">
        <v>179890</v>
      </c>
      <c r="K132">
        <v>76662</v>
      </c>
      <c r="M132">
        <v>9.2200000000000006</v>
      </c>
      <c r="N132" s="26">
        <v>191990</v>
      </c>
      <c r="O132">
        <v>80927</v>
      </c>
      <c r="Q132">
        <v>9.2200000000000006</v>
      </c>
      <c r="R132" s="26">
        <v>323800</v>
      </c>
      <c r="S132" s="26">
        <v>141730</v>
      </c>
      <c r="U132">
        <v>9.2200000000000006</v>
      </c>
      <c r="V132" s="26">
        <v>327380</v>
      </c>
      <c r="W132" s="26">
        <v>142700</v>
      </c>
      <c r="AA132" s="29" t="e">
        <f>(#REF!/#REF!)*100</f>
        <v>#REF!</v>
      </c>
    </row>
    <row r="133" spans="1:27" x14ac:dyDescent="0.25">
      <c r="A133">
        <v>13.5</v>
      </c>
      <c r="B133" s="26">
        <v>299030</v>
      </c>
      <c r="C133" s="26">
        <v>131980</v>
      </c>
      <c r="E133">
        <v>13.5</v>
      </c>
      <c r="F133" s="26">
        <v>312610</v>
      </c>
      <c r="G133" s="26">
        <v>137420</v>
      </c>
      <c r="I133">
        <v>13.5</v>
      </c>
      <c r="J133" s="26">
        <v>196450</v>
      </c>
      <c r="K133">
        <v>85382</v>
      </c>
      <c r="M133">
        <v>13.5</v>
      </c>
      <c r="N133" s="26">
        <v>208760</v>
      </c>
      <c r="O133">
        <v>90057</v>
      </c>
      <c r="Q133">
        <v>13.5</v>
      </c>
      <c r="R133" s="26">
        <v>355770</v>
      </c>
      <c r="S133" s="26">
        <v>157780</v>
      </c>
      <c r="U133">
        <v>13.5</v>
      </c>
      <c r="V133" s="26">
        <v>359190</v>
      </c>
      <c r="W133" s="26">
        <v>159200</v>
      </c>
      <c r="AA133" s="29" t="e">
        <f>(#REF!/#REF!)*100</f>
        <v>#REF!</v>
      </c>
    </row>
    <row r="134" spans="1:27" x14ac:dyDescent="0.25">
      <c r="A134">
        <v>19.899999999999999</v>
      </c>
      <c r="B134" s="26">
        <v>328360</v>
      </c>
      <c r="C134" s="26">
        <v>147380</v>
      </c>
      <c r="E134">
        <v>19.899999999999999</v>
      </c>
      <c r="F134" s="26">
        <v>342830</v>
      </c>
      <c r="G134" s="26">
        <v>153440</v>
      </c>
      <c r="I134">
        <v>19.899999999999999</v>
      </c>
      <c r="J134" s="26">
        <v>214590</v>
      </c>
      <c r="K134">
        <v>95357</v>
      </c>
      <c r="M134">
        <v>19.899999999999999</v>
      </c>
      <c r="N134" s="26">
        <v>227610</v>
      </c>
      <c r="O134" s="26">
        <v>100540</v>
      </c>
      <c r="Q134">
        <v>19.899999999999999</v>
      </c>
      <c r="R134" s="26">
        <v>390840</v>
      </c>
      <c r="S134" s="26">
        <v>177460</v>
      </c>
      <c r="U134">
        <v>19.899999999999999</v>
      </c>
      <c r="V134" s="26">
        <v>394580</v>
      </c>
      <c r="W134" s="26">
        <v>178090</v>
      </c>
      <c r="AA134" s="29" t="e">
        <f>(#REF!/#REF!)*100</f>
        <v>#REF!</v>
      </c>
    </row>
    <row r="135" spans="1:27" x14ac:dyDescent="0.25">
      <c r="A135">
        <v>29.2</v>
      </c>
      <c r="B135" s="26">
        <v>360900</v>
      </c>
      <c r="C135" s="26">
        <v>164960</v>
      </c>
      <c r="E135">
        <v>29.2</v>
      </c>
      <c r="F135" s="26">
        <v>375780</v>
      </c>
      <c r="G135" s="26">
        <v>171610</v>
      </c>
      <c r="I135">
        <v>29.2</v>
      </c>
      <c r="J135" s="26">
        <v>234470</v>
      </c>
      <c r="K135" s="26">
        <v>106730</v>
      </c>
      <c r="M135">
        <v>29.2</v>
      </c>
      <c r="N135" s="26">
        <v>248020</v>
      </c>
      <c r="O135" s="26">
        <v>112510</v>
      </c>
      <c r="Q135">
        <v>29.2</v>
      </c>
      <c r="R135" s="26">
        <v>431640</v>
      </c>
      <c r="S135" s="26">
        <v>198560</v>
      </c>
      <c r="U135">
        <v>29.2</v>
      </c>
      <c r="V135" s="26">
        <v>434220</v>
      </c>
      <c r="W135" s="26">
        <v>199880</v>
      </c>
      <c r="AA135" s="29" t="e">
        <f>(#REF!/#REF!)*100</f>
        <v>#REF!</v>
      </c>
    </row>
    <row r="136" spans="1:27" x14ac:dyDescent="0.25">
      <c r="A136">
        <v>42.8</v>
      </c>
      <c r="B136" s="26">
        <v>397100</v>
      </c>
      <c r="C136" s="26">
        <v>185200</v>
      </c>
      <c r="E136">
        <v>42.8</v>
      </c>
      <c r="F136" s="26">
        <v>412430</v>
      </c>
      <c r="G136" s="26">
        <v>192130</v>
      </c>
      <c r="I136">
        <v>42.8</v>
      </c>
      <c r="J136" s="26">
        <v>256620</v>
      </c>
      <c r="K136" s="26">
        <v>119770</v>
      </c>
      <c r="M136">
        <v>42.8</v>
      </c>
      <c r="N136" s="26">
        <v>270130</v>
      </c>
      <c r="O136" s="26">
        <v>126020</v>
      </c>
      <c r="Q136">
        <v>42.8</v>
      </c>
      <c r="R136" s="26">
        <v>475760</v>
      </c>
      <c r="S136" s="26">
        <v>222970</v>
      </c>
      <c r="U136">
        <v>42.8</v>
      </c>
      <c r="V136" s="26">
        <v>478560</v>
      </c>
      <c r="W136" s="26">
        <v>224770</v>
      </c>
      <c r="AA136" s="29" t="e">
        <f>(#REF!/#REF!)*100</f>
        <v>#REF!</v>
      </c>
    </row>
    <row r="137" spans="1:27" x14ac:dyDescent="0.25">
      <c r="A137">
        <v>62.8</v>
      </c>
      <c r="B137" s="26">
        <v>437010</v>
      </c>
      <c r="C137" s="26">
        <v>207900</v>
      </c>
      <c r="E137">
        <v>62.8</v>
      </c>
      <c r="F137" s="26">
        <v>452180</v>
      </c>
      <c r="G137" s="26">
        <v>215420</v>
      </c>
      <c r="I137">
        <v>62.8</v>
      </c>
      <c r="J137" s="26">
        <v>281810</v>
      </c>
      <c r="K137" s="26">
        <v>134800</v>
      </c>
      <c r="M137">
        <v>62.8</v>
      </c>
      <c r="N137" s="26">
        <v>294620</v>
      </c>
      <c r="O137" s="26">
        <v>141420</v>
      </c>
      <c r="Q137">
        <v>62.8</v>
      </c>
      <c r="R137" s="26">
        <v>525350</v>
      </c>
      <c r="S137" s="26">
        <v>250940</v>
      </c>
      <c r="U137">
        <v>62.8</v>
      </c>
      <c r="V137" s="26">
        <v>528080</v>
      </c>
      <c r="W137" s="26">
        <v>253040</v>
      </c>
      <c r="AA137" s="29" t="e">
        <f>(#REF!/#REF!)*100</f>
        <v>#REF!</v>
      </c>
    </row>
    <row r="138" spans="1:27" x14ac:dyDescent="0.25">
      <c r="A138">
        <v>92.2</v>
      </c>
      <c r="B138" s="26">
        <v>482090</v>
      </c>
      <c r="C138" s="26">
        <v>233760</v>
      </c>
      <c r="E138">
        <v>92.2</v>
      </c>
      <c r="F138" s="26">
        <v>496980</v>
      </c>
      <c r="G138" s="26">
        <v>241550</v>
      </c>
      <c r="I138">
        <v>92.2</v>
      </c>
      <c r="J138" s="26">
        <v>309490</v>
      </c>
      <c r="K138" s="26">
        <v>151740</v>
      </c>
      <c r="M138">
        <v>92.2</v>
      </c>
      <c r="N138" s="26">
        <v>320480</v>
      </c>
      <c r="O138" s="26">
        <v>158330</v>
      </c>
      <c r="Q138">
        <v>92.2</v>
      </c>
      <c r="R138" s="26">
        <v>581400</v>
      </c>
      <c r="S138" s="26">
        <v>283120</v>
      </c>
      <c r="U138">
        <v>92.2</v>
      </c>
      <c r="V138" s="26">
        <v>584060</v>
      </c>
      <c r="W138" s="26">
        <v>285240</v>
      </c>
      <c r="AA138" s="29" t="e">
        <f>(#REF!/#REF!)*100</f>
        <v>#REF!</v>
      </c>
    </row>
    <row r="139" spans="1:27" x14ac:dyDescent="0.25">
      <c r="A139">
        <v>135</v>
      </c>
      <c r="B139" s="26">
        <v>532570</v>
      </c>
      <c r="C139" s="26">
        <v>262970</v>
      </c>
      <c r="E139">
        <v>135</v>
      </c>
      <c r="F139" s="26">
        <v>546440</v>
      </c>
      <c r="G139" s="26">
        <v>270670</v>
      </c>
      <c r="I139">
        <v>135</v>
      </c>
      <c r="J139" s="26">
        <v>338620</v>
      </c>
      <c r="K139" s="26">
        <v>170710</v>
      </c>
      <c r="M139">
        <v>135</v>
      </c>
      <c r="N139" s="26">
        <v>346540</v>
      </c>
      <c r="O139" s="26">
        <v>176510</v>
      </c>
      <c r="Q139">
        <v>135</v>
      </c>
      <c r="R139" s="26">
        <v>644700</v>
      </c>
      <c r="S139" s="26">
        <v>320320</v>
      </c>
      <c r="U139">
        <v>135</v>
      </c>
      <c r="V139" s="26">
        <v>647230</v>
      </c>
      <c r="W139" s="26">
        <v>321410</v>
      </c>
      <c r="AA139" s="29" t="e">
        <f>(#REF!/#REF!)*100</f>
        <v>#REF!</v>
      </c>
    </row>
    <row r="140" spans="1:27" x14ac:dyDescent="0.25">
      <c r="A140">
        <v>199</v>
      </c>
      <c r="B140" s="26">
        <v>587280</v>
      </c>
      <c r="C140" s="26">
        <v>295500</v>
      </c>
      <c r="E140">
        <v>199</v>
      </c>
      <c r="F140" s="26">
        <v>600360</v>
      </c>
      <c r="G140" s="26">
        <v>302460</v>
      </c>
      <c r="I140">
        <v>199</v>
      </c>
      <c r="J140" s="26">
        <v>366670</v>
      </c>
      <c r="K140" s="26">
        <v>190710</v>
      </c>
      <c r="M140">
        <v>199</v>
      </c>
      <c r="N140" s="26">
        <v>370250</v>
      </c>
      <c r="O140" s="26">
        <v>195280</v>
      </c>
      <c r="Q140">
        <v>199</v>
      </c>
      <c r="R140" s="26">
        <v>717550</v>
      </c>
      <c r="S140" s="26">
        <v>360450</v>
      </c>
      <c r="U140">
        <v>199</v>
      </c>
      <c r="V140" s="26">
        <v>718280</v>
      </c>
      <c r="W140" s="26">
        <v>362130</v>
      </c>
      <c r="AA140" s="29" t="e">
        <f>(#REF!/#REF!)*100</f>
        <v>#REF!</v>
      </c>
    </row>
    <row r="141" spans="1:27" x14ac:dyDescent="0.25">
      <c r="A141">
        <v>292</v>
      </c>
      <c r="B141" s="26">
        <v>649740</v>
      </c>
      <c r="C141" s="26">
        <v>332170</v>
      </c>
      <c r="E141">
        <v>292</v>
      </c>
      <c r="F141" s="26">
        <v>657010</v>
      </c>
      <c r="G141" s="26">
        <v>338210</v>
      </c>
      <c r="I141">
        <v>292</v>
      </c>
      <c r="J141" s="26">
        <v>386840</v>
      </c>
      <c r="K141" s="26">
        <v>211250</v>
      </c>
      <c r="M141">
        <v>292</v>
      </c>
      <c r="N141" s="26">
        <v>391350</v>
      </c>
      <c r="O141" s="26">
        <v>216520</v>
      </c>
      <c r="Q141">
        <v>292</v>
      </c>
      <c r="R141" s="26">
        <v>797870</v>
      </c>
      <c r="S141" s="26">
        <v>406120</v>
      </c>
      <c r="U141">
        <v>292</v>
      </c>
      <c r="V141" s="26">
        <v>799750</v>
      </c>
      <c r="W141" s="26">
        <v>408330</v>
      </c>
      <c r="AA141" s="29" t="e">
        <f>(#REF!/#REF!)*100</f>
        <v>#REF!</v>
      </c>
    </row>
    <row r="142" spans="1:27" x14ac:dyDescent="0.25">
      <c r="A142">
        <v>428</v>
      </c>
      <c r="B142" s="26">
        <v>720250</v>
      </c>
      <c r="C142" s="26">
        <v>375270</v>
      </c>
      <c r="E142">
        <v>428</v>
      </c>
      <c r="F142" s="26">
        <v>717710</v>
      </c>
      <c r="G142" s="26">
        <v>378140</v>
      </c>
      <c r="I142">
        <v>428</v>
      </c>
      <c r="J142" s="26">
        <v>409940</v>
      </c>
      <c r="K142" s="26">
        <v>235720</v>
      </c>
      <c r="M142">
        <v>428</v>
      </c>
      <c r="N142" s="26">
        <v>407810</v>
      </c>
      <c r="O142" s="26">
        <v>238830</v>
      </c>
      <c r="Q142">
        <v>428</v>
      </c>
      <c r="R142" s="26">
        <v>890070</v>
      </c>
      <c r="S142" s="26">
        <v>457690</v>
      </c>
      <c r="U142">
        <v>428</v>
      </c>
      <c r="V142" s="26">
        <v>891890</v>
      </c>
      <c r="W142" s="26">
        <v>460770</v>
      </c>
      <c r="AA142" s="29" t="e">
        <f>(#REF!/#REF!)*100</f>
        <v>#REF!</v>
      </c>
    </row>
    <row r="143" spans="1:27" x14ac:dyDescent="0.25">
      <c r="A143">
        <v>628</v>
      </c>
      <c r="B143" s="26">
        <v>790140</v>
      </c>
      <c r="C143" s="26">
        <v>429100</v>
      </c>
      <c r="E143">
        <v>628</v>
      </c>
      <c r="F143" s="26">
        <v>781180</v>
      </c>
      <c r="G143" s="26">
        <v>430090</v>
      </c>
      <c r="I143">
        <v>628</v>
      </c>
      <c r="J143" s="26">
        <v>417050</v>
      </c>
      <c r="K143" s="26">
        <v>268060</v>
      </c>
      <c r="M143">
        <v>628</v>
      </c>
      <c r="N143" s="26">
        <v>408160</v>
      </c>
      <c r="O143" s="26">
        <v>269470</v>
      </c>
      <c r="Q143">
        <v>628</v>
      </c>
      <c r="R143" s="26">
        <v>977520</v>
      </c>
      <c r="S143" s="26">
        <v>525880</v>
      </c>
      <c r="U143">
        <v>628</v>
      </c>
      <c r="V143" s="26">
        <v>981060</v>
      </c>
      <c r="W143" s="26">
        <v>530190</v>
      </c>
      <c r="AA143" s="29" t="e">
        <f>(#REF!/#REF!)*100</f>
        <v>#REF!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FE47-437A-4997-9596-C3002B8E2B71}">
  <dimension ref="A1:F21"/>
  <sheetViews>
    <sheetView workbookViewId="0">
      <selection activeCell="B1" sqref="B1:F1"/>
    </sheetView>
  </sheetViews>
  <sheetFormatPr defaultRowHeight="15" x14ac:dyDescent="0.25"/>
  <cols>
    <col min="1" max="1" width="14.5703125" bestFit="1" customWidth="1"/>
  </cols>
  <sheetData>
    <row r="1" spans="1:6" ht="15.75" thickBot="1" x14ac:dyDescent="0.3">
      <c r="A1" s="9" t="s">
        <v>28</v>
      </c>
      <c r="B1" s="30" t="s">
        <v>11</v>
      </c>
      <c r="C1" s="30" t="s">
        <v>42</v>
      </c>
      <c r="D1" s="30" t="s">
        <v>51</v>
      </c>
      <c r="E1" s="30" t="s">
        <v>49</v>
      </c>
      <c r="F1" s="31" t="s">
        <v>50</v>
      </c>
    </row>
    <row r="2" spans="1:6" ht="15.75" thickBot="1" x14ac:dyDescent="0.3">
      <c r="A2" s="32" t="s">
        <v>52</v>
      </c>
      <c r="B2" s="33" t="s">
        <v>53</v>
      </c>
      <c r="C2" s="33" t="s">
        <v>53</v>
      </c>
      <c r="D2" s="33" t="s">
        <v>53</v>
      </c>
      <c r="E2" s="33" t="s">
        <v>53</v>
      </c>
      <c r="F2" s="34" t="s">
        <v>53</v>
      </c>
    </row>
    <row r="3" spans="1:6" x14ac:dyDescent="0.25">
      <c r="A3" s="35">
        <v>9.99776E-2</v>
      </c>
      <c r="B3" s="36">
        <f>'[2]Figure 1_viscoelastic prop'!C4/'[2]Figure 1_viscoelastic prop'!B4</f>
        <v>0.47591640877638303</v>
      </c>
      <c r="C3" s="36">
        <f>'[2]Figure 1_viscoelastic prop'!E4/'[2]Figure 1_viscoelastic prop'!D4</f>
        <v>0.40501126063181647</v>
      </c>
      <c r="D3" s="36">
        <f>'[2]Figure 1_viscoelastic prop'!G4/'[2]Figure 1_viscoelastic prop'!F4</f>
        <v>0.54721088219673253</v>
      </c>
      <c r="E3" s="36">
        <f>'[2]Figure 1_viscoelastic prop'!I4/'[2]Figure 1_viscoelastic prop'!H4</f>
        <v>0.45882648640108775</v>
      </c>
      <c r="F3" s="37">
        <f>'[2]Figure 1_viscoelastic prop'!K4/'[2]Figure 1_viscoelastic prop'!J4</f>
        <v>0.47840355993369055</v>
      </c>
    </row>
    <row r="4" spans="1:6" x14ac:dyDescent="0.25">
      <c r="A4" s="19">
        <v>0.14678240000000001</v>
      </c>
      <c r="B4">
        <f>'[2]Figure 1_viscoelastic prop'!C5/'[2]Figure 1_viscoelastic prop'!B5</f>
        <v>0.44387616564012539</v>
      </c>
      <c r="C4">
        <f>'[2]Figure 1_viscoelastic prop'!E5/'[2]Figure 1_viscoelastic prop'!D5</f>
        <v>0.3674071059128905</v>
      </c>
      <c r="D4">
        <f>'[2]Figure 1_viscoelastic prop'!G5/'[2]Figure 1_viscoelastic prop'!F5</f>
        <v>0.49316757094239894</v>
      </c>
      <c r="E4">
        <f>'[2]Figure 1_viscoelastic prop'!I5/'[2]Figure 1_viscoelastic prop'!H5</f>
        <v>0.414574665242952</v>
      </c>
      <c r="F4" s="38">
        <f>'[2]Figure 1_viscoelastic prop'!K5/'[2]Figure 1_viscoelastic prop'!J5</f>
        <v>0.44625191804314468</v>
      </c>
    </row>
    <row r="5" spans="1:6" x14ac:dyDescent="0.25">
      <c r="A5" s="19">
        <v>0.21492000000000003</v>
      </c>
      <c r="B5">
        <f>'[2]Figure 1_viscoelastic prop'!C6/'[2]Figure 1_viscoelastic prop'!B6</f>
        <v>0.43236498491986119</v>
      </c>
      <c r="C5">
        <f>'[2]Figure 1_viscoelastic prop'!E6/'[2]Figure 1_viscoelastic prop'!D6</f>
        <v>0.35030738607338507</v>
      </c>
      <c r="D5">
        <f>'[2]Figure 1_viscoelastic prop'!G6/'[2]Figure 1_viscoelastic prop'!F6</f>
        <v>0.47753481197859038</v>
      </c>
      <c r="E5">
        <f>'[2]Figure 1_viscoelastic prop'!I6/'[2]Figure 1_viscoelastic prop'!H6</f>
        <v>0.39372969544551095</v>
      </c>
      <c r="F5" s="38">
        <f>'[2]Figure 1_viscoelastic prop'!K6/'[2]Figure 1_viscoelastic prop'!J6</f>
        <v>0.43150956166846827</v>
      </c>
    </row>
    <row r="6" spans="1:6" x14ac:dyDescent="0.25">
      <c r="A6" s="19">
        <v>0.31680800000000003</v>
      </c>
      <c r="B6">
        <f>'[2]Figure 1_viscoelastic prop'!C7/'[2]Figure 1_viscoelastic prop'!B7</f>
        <v>0.4278190018435607</v>
      </c>
      <c r="C6">
        <f>'[2]Figure 1_viscoelastic prop'!E7/'[2]Figure 1_viscoelastic prop'!D7</f>
        <v>0.33999960919435418</v>
      </c>
      <c r="D6">
        <f>'[2]Figure 1_viscoelastic prop'!G7/'[2]Figure 1_viscoelastic prop'!F7</f>
        <v>0.46272120071557715</v>
      </c>
      <c r="E6">
        <f>'[2]Figure 1_viscoelastic prop'!I7/'[2]Figure 1_viscoelastic prop'!H7</f>
        <v>0.38479490830140317</v>
      </c>
      <c r="F6" s="38">
        <f>'[2]Figure 1_viscoelastic prop'!K7/'[2]Figure 1_viscoelastic prop'!J7</f>
        <v>0.42510038874914241</v>
      </c>
    </row>
    <row r="7" spans="1:6" x14ac:dyDescent="0.25">
      <c r="A7" s="19">
        <v>0.464864</v>
      </c>
      <c r="B7">
        <f>'[2]Figure 1_viscoelastic prop'!C8/'[2]Figure 1_viscoelastic prop'!B8</f>
        <v>0.4287542016806723</v>
      </c>
      <c r="C7">
        <f>'[2]Figure 1_viscoelastic prop'!E8/'[2]Figure 1_viscoelastic prop'!D8</f>
        <v>0.33372677092358871</v>
      </c>
      <c r="D7">
        <f>'[2]Figure 1_viscoelastic prop'!G8/'[2]Figure 1_viscoelastic prop'!F8</f>
        <v>0.45676311030741412</v>
      </c>
      <c r="E7">
        <f>'[2]Figure 1_viscoelastic prop'!I8/'[2]Figure 1_viscoelastic prop'!H8</f>
        <v>0.3797584800880528</v>
      </c>
      <c r="F7" s="38">
        <f>'[2]Figure 1_viscoelastic prop'!K8/'[2]Figure 1_viscoelastic prop'!J8</f>
        <v>0.42437016795521193</v>
      </c>
    </row>
    <row r="8" spans="1:6" x14ac:dyDescent="0.25">
      <c r="A8" s="19">
        <v>0.68137600000000009</v>
      </c>
      <c r="B8">
        <f>'[2]Figure 1_viscoelastic prop'!C9/'[2]Figure 1_viscoelastic prop'!B9</f>
        <v>0.43072181870409126</v>
      </c>
      <c r="C8">
        <f>'[2]Figure 1_viscoelastic prop'!E9/'[2]Figure 1_viscoelastic prop'!D9</f>
        <v>0.3302266121066742</v>
      </c>
      <c r="D8">
        <f>'[2]Figure 1_viscoelastic prop'!G9/'[2]Figure 1_viscoelastic prop'!F9</f>
        <v>0.45366931842614489</v>
      </c>
      <c r="E8">
        <f>'[2]Figure 1_viscoelastic prop'!I9/'[2]Figure 1_viscoelastic prop'!H9</f>
        <v>0.378040630847367</v>
      </c>
      <c r="F8" s="38">
        <f>'[2]Figure 1_viscoelastic prop'!K9/'[2]Figure 1_viscoelastic prop'!J9</f>
        <v>0.42354711017573721</v>
      </c>
    </row>
    <row r="9" spans="1:6" x14ac:dyDescent="0.25">
      <c r="A9" s="19">
        <v>0.99977600000000011</v>
      </c>
      <c r="B9">
        <f>'[2]Figure 1_viscoelastic prop'!C10/'[2]Figure 1_viscoelastic prop'!B10</f>
        <v>0.43736195092699021</v>
      </c>
      <c r="C9">
        <f>'[2]Figure 1_viscoelastic prop'!E10/'[2]Figure 1_viscoelastic prop'!D10</f>
        <v>0.32852906881651217</v>
      </c>
      <c r="D9">
        <f>'[2]Figure 1_viscoelastic prop'!G10/'[2]Figure 1_viscoelastic prop'!F10</f>
        <v>0.45631813715551256</v>
      </c>
      <c r="E9">
        <f>'[2]Figure 1_viscoelastic prop'!I10/'[2]Figure 1_viscoelastic prop'!H10</f>
        <v>0.378599384201739</v>
      </c>
      <c r="F9" s="38">
        <f>'[2]Figure 1_viscoelastic prop'!K10/'[2]Figure 1_viscoelastic prop'!J10</f>
        <v>0.427408413423228</v>
      </c>
    </row>
    <row r="10" spans="1:6" x14ac:dyDescent="0.25">
      <c r="A10" s="19">
        <v>1.4678240000000002</v>
      </c>
      <c r="B10">
        <f>'[2]Figure 1_viscoelastic prop'!C11/'[2]Figure 1_viscoelastic prop'!B11</f>
        <v>0.4467169269021522</v>
      </c>
      <c r="C10">
        <f>'[2]Figure 1_viscoelastic prop'!E11/'[2]Figure 1_viscoelastic prop'!D11</f>
        <v>0.32936122119622346</v>
      </c>
      <c r="D10">
        <f>'[2]Figure 1_viscoelastic prop'!G11/'[2]Figure 1_viscoelastic prop'!F11</f>
        <v>0.46121097981464304</v>
      </c>
      <c r="E10">
        <f>'[2]Figure 1_viscoelastic prop'!I11/'[2]Figure 1_viscoelastic prop'!H11</f>
        <v>0.38054522672970492</v>
      </c>
      <c r="F10" s="38">
        <f>'[2]Figure 1_viscoelastic prop'!K11/'[2]Figure 1_viscoelastic prop'!J11</f>
        <v>0.43252153346065803</v>
      </c>
    </row>
    <row r="11" spans="1:6" x14ac:dyDescent="0.25">
      <c r="A11" s="19">
        <v>2.1492</v>
      </c>
      <c r="B11">
        <f>'[2]Figure 1_viscoelastic prop'!C12/'[2]Figure 1_viscoelastic prop'!B12</f>
        <v>0.45947175310312521</v>
      </c>
      <c r="C11">
        <f>'[2]Figure 1_viscoelastic prop'!E12/'[2]Figure 1_viscoelastic prop'!D12</f>
        <v>0.33066669751087263</v>
      </c>
      <c r="D11">
        <f>'[2]Figure 1_viscoelastic prop'!G12/'[2]Figure 1_viscoelastic prop'!F12</f>
        <v>0.46779341817714359</v>
      </c>
      <c r="E11">
        <f>'[2]Figure 1_viscoelastic prop'!I12/'[2]Figure 1_viscoelastic prop'!H12</f>
        <v>0.38397587551231221</v>
      </c>
      <c r="F11" s="38">
        <f>'[2]Figure 1_viscoelastic prop'!K12/'[2]Figure 1_viscoelastic prop'!J12</f>
        <v>0.43989756382051148</v>
      </c>
    </row>
    <row r="12" spans="1:6" x14ac:dyDescent="0.25">
      <c r="A12" s="19">
        <v>3.1680799999999998</v>
      </c>
      <c r="B12">
        <f>'[2]Figure 1_viscoelastic prop'!C13/'[2]Figure 1_viscoelastic prop'!B13</f>
        <v>0.47409894847678541</v>
      </c>
      <c r="C12">
        <f>'[2]Figure 1_viscoelastic prop'!E13/'[2]Figure 1_viscoelastic prop'!D13</f>
        <v>0.33443104803171142</v>
      </c>
      <c r="D12">
        <f>'[2]Figure 1_viscoelastic prop'!G13/'[2]Figure 1_viscoelastic prop'!F13</f>
        <v>0.47570456640720721</v>
      </c>
      <c r="E12">
        <f>'[2]Figure 1_viscoelastic prop'!I13/'[2]Figure 1_viscoelastic prop'!H13</f>
        <v>0.38924416451368887</v>
      </c>
      <c r="F12" s="38">
        <f>'[2]Figure 1_viscoelastic prop'!K13/'[2]Figure 1_viscoelastic prop'!J13</f>
        <v>0.44884269621499784</v>
      </c>
    </row>
    <row r="13" spans="1:6" x14ac:dyDescent="0.25">
      <c r="A13" s="19">
        <v>4.6486400000000003</v>
      </c>
      <c r="B13">
        <f>'[2]Figure 1_viscoelastic prop'!C14/'[2]Figure 1_viscoelastic prop'!B14</f>
        <v>0.49051128889655615</v>
      </c>
      <c r="C13">
        <f>'[2]Figure 1_viscoelastic prop'!E14/'[2]Figure 1_viscoelastic prop'!D14</f>
        <v>0.33703155437527704</v>
      </c>
      <c r="D13">
        <f>'[2]Figure 1_viscoelastic prop'!G14/'[2]Figure 1_viscoelastic prop'!F14</f>
        <v>0.48476727263104974</v>
      </c>
      <c r="E13">
        <f>'[2]Figure 1_viscoelastic prop'!I14/'[2]Figure 1_viscoelastic prop'!H14</f>
        <v>0.39475891967396026</v>
      </c>
      <c r="F13" s="38">
        <f>'[2]Figure 1_viscoelastic prop'!K14/'[2]Figure 1_viscoelastic prop'!J14</f>
        <v>0.45766727577061239</v>
      </c>
    </row>
    <row r="14" spans="1:6" x14ac:dyDescent="0.25">
      <c r="A14" s="19">
        <v>6.8137600000000003</v>
      </c>
      <c r="B14">
        <f>'[2]Figure 1_viscoelastic prop'!C15/'[2]Figure 1_viscoelastic prop'!B15</f>
        <v>0.50863815056034734</v>
      </c>
      <c r="C14">
        <f>'[2]Figure 1_viscoelastic prop'!E15/'[2]Figure 1_viscoelastic prop'!D15</f>
        <v>0.34137991633397646</v>
      </c>
      <c r="D14">
        <f>'[2]Figure 1_viscoelastic prop'!G15/'[2]Figure 1_viscoelastic prop'!F15</f>
        <v>0.49438649688618502</v>
      </c>
      <c r="E14">
        <f>'[2]Figure 1_viscoelastic prop'!I15/'[2]Figure 1_viscoelastic prop'!H15</f>
        <v>0.39926519571229591</v>
      </c>
      <c r="F14" s="38">
        <f>'[2]Figure 1_viscoelastic prop'!K15/'[2]Figure 1_viscoelastic prop'!J15</f>
        <v>0.4675019645507727</v>
      </c>
    </row>
    <row r="15" spans="1:6" x14ac:dyDescent="0.25">
      <c r="A15" s="19">
        <v>9.9977599999999995</v>
      </c>
      <c r="B15">
        <f>'[2]Figure 1_viscoelastic prop'!C16/'[2]Figure 1_viscoelastic prop'!B16</f>
        <v>0.52859675758315727</v>
      </c>
      <c r="C15">
        <f>'[2]Figure 1_viscoelastic prop'!E16/'[2]Figure 1_viscoelastic prop'!D16</f>
        <v>0.34590800681431011</v>
      </c>
      <c r="D15">
        <f>'[2]Figure 1_viscoelastic prop'!G16/'[2]Figure 1_viscoelastic prop'!F16</f>
        <v>0.50420938712888075</v>
      </c>
      <c r="E15">
        <f>'[2]Figure 1_viscoelastic prop'!I16/'[2]Figure 1_viscoelastic prop'!H16</f>
        <v>0.40371213715772758</v>
      </c>
      <c r="F15" s="38">
        <f>'[2]Figure 1_viscoelastic prop'!K16/'[2]Figure 1_viscoelastic prop'!J16</f>
        <v>0.47776741231813574</v>
      </c>
    </row>
    <row r="16" spans="1:6" x14ac:dyDescent="0.25">
      <c r="A16" s="19">
        <v>14.678240000000001</v>
      </c>
      <c r="B16">
        <f>'[2]Figure 1_viscoelastic prop'!C17/'[2]Figure 1_viscoelastic prop'!B17</f>
        <v>0.54915559242537848</v>
      </c>
      <c r="C16">
        <f>'[2]Figure 1_viscoelastic prop'!E17/'[2]Figure 1_viscoelastic prop'!D17</f>
        <v>0.35227380988577739</v>
      </c>
      <c r="D16">
        <f>'[2]Figure 1_viscoelastic prop'!G17/'[2]Figure 1_viscoelastic prop'!F17</f>
        <v>0.51390643012554937</v>
      </c>
      <c r="E16">
        <f>'[2]Figure 1_viscoelastic prop'!I17/'[2]Figure 1_viscoelastic prop'!H17</f>
        <v>0.40748267293888402</v>
      </c>
      <c r="F16" s="38">
        <f>'[2]Figure 1_viscoelastic prop'!K17/'[2]Figure 1_viscoelastic prop'!J17</f>
        <v>0.48792214813479906</v>
      </c>
    </row>
    <row r="17" spans="1:6" x14ac:dyDescent="0.25">
      <c r="A17" s="19">
        <v>21.492000000000001</v>
      </c>
      <c r="B17">
        <f>'[2]Figure 1_viscoelastic prop'!C18/'[2]Figure 1_viscoelastic prop'!B18</f>
        <v>0.57036379362688094</v>
      </c>
      <c r="C17">
        <f>'[2]Figure 1_viscoelastic prop'!E18/'[2]Figure 1_viscoelastic prop'!D18</f>
        <v>0.35828656275083992</v>
      </c>
      <c r="D17">
        <f>'[2]Figure 1_viscoelastic prop'!G18/'[2]Figure 1_viscoelastic prop'!F18</f>
        <v>0.5235885509966417</v>
      </c>
      <c r="E17">
        <f>'[2]Figure 1_viscoelastic prop'!I18/'[2]Figure 1_viscoelastic prop'!H18</f>
        <v>0.41316795053807909</v>
      </c>
      <c r="F17" s="38">
        <f>'[2]Figure 1_viscoelastic prop'!K18/'[2]Figure 1_viscoelastic prop'!J18</f>
        <v>0.49821340924707963</v>
      </c>
    </row>
    <row r="18" spans="1:6" x14ac:dyDescent="0.25">
      <c r="A18" s="19">
        <v>31.680800000000001</v>
      </c>
      <c r="B18">
        <f>'[2]Figure 1_viscoelastic prop'!C19/'[2]Figure 1_viscoelastic prop'!B19</f>
        <v>0.59206290699103081</v>
      </c>
      <c r="C18">
        <f>'[2]Figure 1_viscoelastic prop'!E19/'[2]Figure 1_viscoelastic prop'!D19</f>
        <v>0.369097524727105</v>
      </c>
      <c r="D18">
        <f>'[2]Figure 1_viscoelastic prop'!G19/'[2]Figure 1_viscoelastic prop'!F19</f>
        <v>0.53388949512820338</v>
      </c>
      <c r="E18">
        <f>'[2]Figure 1_viscoelastic prop'!I19/'[2]Figure 1_viscoelastic prop'!H19</f>
        <v>0.41772030860231468</v>
      </c>
      <c r="F18" s="38">
        <f>'[2]Figure 1_viscoelastic prop'!K19/'[2]Figure 1_viscoelastic prop'!J19</f>
        <v>0.50783688798026427</v>
      </c>
    </row>
    <row r="19" spans="1:6" x14ac:dyDescent="0.25">
      <c r="A19" s="19">
        <v>46.486400000000003</v>
      </c>
      <c r="B19">
        <f>'[2]Figure 1_viscoelastic prop'!C20/'[2]Figure 1_viscoelastic prop'!B20</f>
        <v>0.61388592084024829</v>
      </c>
      <c r="C19">
        <f>'[2]Figure 1_viscoelastic prop'!E20/'[2]Figure 1_viscoelastic prop'!D20</f>
        <v>0.37957108734627482</v>
      </c>
      <c r="D19">
        <f>'[2]Figure 1_viscoelastic prop'!G20/'[2]Figure 1_viscoelastic prop'!F20</f>
        <v>0.54549775269031719</v>
      </c>
      <c r="E19">
        <f>'[2]Figure 1_viscoelastic prop'!I20/'[2]Figure 1_viscoelastic prop'!H20</f>
        <v>0.42074856812181505</v>
      </c>
      <c r="F19" s="38">
        <f>'[2]Figure 1_viscoelastic prop'!K20/'[2]Figure 1_viscoelastic prop'!J20</f>
        <v>0.51936696211331246</v>
      </c>
    </row>
    <row r="20" spans="1:6" x14ac:dyDescent="0.25">
      <c r="A20" s="19">
        <v>68.137600000000006</v>
      </c>
      <c r="B20">
        <f>'[2]Figure 1_viscoelastic prop'!C21/'[2]Figure 1_viscoelastic prop'!B21</f>
        <v>0.63578974351785289</v>
      </c>
      <c r="C20">
        <f>'[2]Figure 1_viscoelastic prop'!E21/'[2]Figure 1_viscoelastic prop'!D21</f>
        <v>0.39643785722905445</v>
      </c>
      <c r="D20">
        <f>'[2]Figure 1_viscoelastic prop'!G21/'[2]Figure 1_viscoelastic prop'!F21</f>
        <v>0.55995983679035233</v>
      </c>
      <c r="E20">
        <f>'[2]Figure 1_viscoelastic prop'!I21/'[2]Figure 1_viscoelastic prop'!H21</f>
        <v>0.42830668801386018</v>
      </c>
      <c r="F20" s="38">
        <f>'[2]Figure 1_viscoelastic prop'!K21/'[2]Figure 1_viscoelastic prop'!J21</f>
        <v>0.53159866952970403</v>
      </c>
    </row>
    <row r="21" spans="1:6" ht="15.75" thickBot="1" x14ac:dyDescent="0.3">
      <c r="A21" s="22">
        <v>99.97760000000001</v>
      </c>
      <c r="B21" s="39">
        <f>'[2]Figure 1_viscoelastic prop'!C22/'[2]Figure 1_viscoelastic prop'!B22</f>
        <v>0.66237854198194435</v>
      </c>
      <c r="C21" s="39">
        <f>'[2]Figure 1_viscoelastic prop'!E22/'[2]Figure 1_viscoelastic prop'!D22</f>
        <v>0.44021807244015543</v>
      </c>
      <c r="D21" s="39">
        <f>'[2]Figure 1_viscoelastic prop'!G22/'[2]Figure 1_viscoelastic prop'!F22</f>
        <v>0.58526892123557561</v>
      </c>
      <c r="E21" s="39">
        <f>'[2]Figure 1_viscoelastic prop'!I22/'[2]Figure 1_viscoelastic prop'!H22</f>
        <v>0.44249617907358607</v>
      </c>
      <c r="F21" s="40">
        <f>'[2]Figure 1_viscoelastic prop'!K22/'[2]Figure 1_viscoelastic prop'!J22</f>
        <v>0.56319817409893203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Figure 1_viscoelastic prop</vt:lpstr>
      <vt:lpstr>Figure 2_Tan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Rodriguez Garcia</dc:creator>
  <cp:lastModifiedBy>Julia Rodriguez Garcia</cp:lastModifiedBy>
  <dcterms:created xsi:type="dcterms:W3CDTF">2022-05-30T13:41:57Z</dcterms:created>
  <dcterms:modified xsi:type="dcterms:W3CDTF">2022-05-30T13:55:03Z</dcterms:modified>
</cp:coreProperties>
</file>