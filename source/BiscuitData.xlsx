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readingac-my.sharepoint.com/personal/sf908816_reading_ac_uk/Documents/2. Research/1. Projects/Finished/10. SuReChoc_EIT Food 2019/SureChoc Publication/Open Research/"/>
    </mc:Choice>
  </mc:AlternateContent>
  <xr:revisionPtr revIDLastSave="1" documentId="8_{2AC7D00A-2E5E-4F91-90B0-38820C71CA77}" xr6:coauthVersionLast="47" xr6:coauthVersionMax="47" xr10:uidLastSave="{5F5A87B8-DF91-49BF-BC37-1F3BB2470A5B}"/>
  <bookViews>
    <workbookView xWindow="28680" yWindow="-2325" windowWidth="29040" windowHeight="15840" xr2:uid="{F558EDE3-5913-45D9-A46F-E5770DD4CBC5}"/>
  </bookViews>
  <sheets>
    <sheet name="Index" sheetId="1" r:id="rId1"/>
    <sheet name="Table 3_WL" sheetId="2" r:id="rId2"/>
    <sheet name="Table 3_aw" sheetId="3" r:id="rId3"/>
    <sheet name="Table 3_Moisture" sheetId="4" r:id="rId4"/>
    <sheet name="Table 4_Dimensions" sheetId="5" r:id="rId5"/>
    <sheet name="Figure 3_Resistance to penetrat" sheetId="6" r:id="rId6"/>
    <sheet name="Figure 3_Number of peaks" sheetId="7" r:id="rId7"/>
    <sheet name="Figure 4_Breaking strength" sheetId="8" r:id="rId8"/>
    <sheet name="Figure 4_Fracturability" sheetId="9" r:id="rId9"/>
    <sheet name="Table 5_Colour parameters" sheetId="10" r:id="rId10"/>
    <sheet name="Table 6_sensory profile of bisc" sheetId="11" r:id="rId11"/>
    <sheet name="Figure 4_PCA" sheetId="12" r:id="rId12"/>
  </sheets>
  <externalReferences>
    <externalReference r:id="rId13"/>
    <externalReference r:id="rId14"/>
  </externalReferences>
  <definedNames>
    <definedName name="xdata1" hidden="1">497.7969+(ROW(OFFSET(#REF!,0,0,70,1))-1)*6.75733478260869</definedName>
    <definedName name="xdata11" hidden="1">407.64+(ROW(OFFSET(#REF!,0,0,70,1))-1)*8.06395652173913</definedName>
    <definedName name="xdata13" hidden="1">497.7969+(ROW(OFFSET(#REF!,0,0,70,1))-1)*6.75733478260869</definedName>
    <definedName name="xdata15" hidden="1">407.64+(ROW(OFFSET(#REF!,0,0,70,1))-1)*8.06395652173912</definedName>
    <definedName name="xdata17" hidden="1">497.7969+(ROW(OFFSET(#REF!,0,0,70,1))-1)*6.75733478260869</definedName>
    <definedName name="xdata19" hidden="1">407.64+(ROW(OFFSET(#REF!,0,0,70,1))-1)*8.06395652173912</definedName>
    <definedName name="xdata21" hidden="1">497.7969+(ROW(OFFSET(#REF!,0,0,70,1))-1)*6.75733478260869</definedName>
    <definedName name="xdata23" hidden="1">407.64+(ROW(OFFSET(#REF!,0,0,70,1))-1)*8.06395652173912</definedName>
    <definedName name="xdata3" hidden="1">407.64+(ROW(OFFSET(#REF!,0,0,70,1))-1)*8.06395652173913</definedName>
    <definedName name="xdata5" hidden="1">497.7969+(ROW(OFFSET(#REF!,0,0,70,1))-1)*6.75733478260869</definedName>
    <definedName name="xdata7" hidden="1">407.64+(ROW(OFFSET(#REF!,0,0,70,1))-1)*8.06395652173913</definedName>
    <definedName name="xdata9" hidden="1">497.7969+(ROW(OFFSET(#REF!,0,0,70,1))-1)*6.75733478260869</definedName>
    <definedName name="ydata1" hidden="1">0+1*[0]!xdata9-119.463849301374*(1.01369863013699+([0]!xdata9-657.686164383562)^2/243720.455091668)^0.5</definedName>
    <definedName name="ydata10" hidden="1">0+1*[0]!xdata9-119.463849301374*(1.01369863013699+([0]!xdata9-657.686164383562)^2/243720.455091668)^0.5</definedName>
    <definedName name="ydata12" hidden="1">0+1*[0]!xdata11+119.463849301374*(1.01369863013699+([0]!xdata11-657.686164383562)^2/243720.455091668)^0.5</definedName>
    <definedName name="ydata14" hidden="1">0+1*[0]!xdata13-119.463849301374*(1.01369863013699+([0]!xdata13-657.686164383562)^2/243720.455091666)^0.5</definedName>
    <definedName name="ydata16" hidden="1">0+1*[0]!xdata15+119.463849301374*(1.01369863013699+([0]!xdata15-657.686164383562)^2/243720.455091666)^0.5</definedName>
    <definedName name="ydata18" hidden="1">0+1*[0]!xdata17-119.463849301374*(1.01369863013699+([0]!xdata17-657.686164383562)^2/243720.455091666)^0.5</definedName>
    <definedName name="ydata2" hidden="1">0+1*[0]!xdata1-120.303259123733*(1.01388888888889+([0]!xdata1-656.762777777778)^2/243391.204127382)^0.5</definedName>
    <definedName name="ydata20" hidden="1">0+1*[0]!xdata19+119.463849301374*(1.01369863013699+([0]!xdata19-657.686164383562)^2/243720.455091666)^0.5</definedName>
    <definedName name="ydata22" hidden="1">0+1*[0]!xdata21-119.463849301374*(1.01369863013699+([0]!xdata21-657.686164383562)^2/243720.455091666)^0.5</definedName>
    <definedName name="ydata24" hidden="1">0+1*[0]!xdata23+119.463849301374*(1.01369863013699+([0]!xdata23-657.686164383562)^2/243720.455091666)^0.5</definedName>
    <definedName name="ydata4" hidden="1">0+1*[0]!xdata3+120.303259123733*(1.01388888888889+([0]!xdata3-656.762777777778)^2/243391.204127382)^0.5</definedName>
    <definedName name="ydata6" hidden="1">0+1*[0]!xdata5-120.303259123733*(1.01388888888889+([0]!xdata5-656.762777777778)^2/243391.204127382)^0.5</definedName>
    <definedName name="ydata8" hidden="1">0+1*[0]!xdata7+120.303259123733*(1.01388888888889+([0]!xdata7-656.762777777778)^2/243391.204127382)^0.5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4" i="2" l="1"/>
  <c r="S4" i="2"/>
  <c r="R4" i="2"/>
  <c r="Q4" i="2"/>
  <c r="P4" i="2"/>
  <c r="M4" i="2"/>
  <c r="L4" i="2"/>
  <c r="K4" i="2"/>
  <c r="J4" i="2"/>
  <c r="I4" i="2"/>
  <c r="F4" i="2"/>
  <c r="E4" i="2"/>
  <c r="D4" i="2"/>
  <c r="C4" i="2"/>
  <c r="B4" i="2"/>
</calcChain>
</file>

<file path=xl/sharedStrings.xml><?xml version="1.0" encoding="utf-8"?>
<sst xmlns="http://schemas.openxmlformats.org/spreadsheetml/2006/main" count="580" uniqueCount="131">
  <si>
    <t>FIGURE/TABLE</t>
  </si>
  <si>
    <t>TITLE</t>
  </si>
  <si>
    <t>MANUSCRIPT SECTION</t>
  </si>
  <si>
    <t>Table 3</t>
  </si>
  <si>
    <t>Weight loss, moisture, and water activity of the five biscuit samples.</t>
  </si>
  <si>
    <t>3.2. Weight loss during baking (WL), moisture content and water activity of biscuits</t>
  </si>
  <si>
    <t>Table 4</t>
  </si>
  <si>
    <t>Dimensions of the biscuits</t>
  </si>
  <si>
    <t>3.3. Biscuit dimensions</t>
  </si>
  <si>
    <t>Figure 3</t>
  </si>
  <si>
    <t>Penetration representative curve profiles of biscuits</t>
  </si>
  <si>
    <t>3.4. Biscuit texture</t>
  </si>
  <si>
    <t>Figure 4</t>
  </si>
  <si>
    <t>Biscuit breaking strength and fracturability curve profiles obtained from the 3 point bending test</t>
  </si>
  <si>
    <t>Table 5</t>
  </si>
  <si>
    <t>Colour parameters of the five biscuit samples</t>
  </si>
  <si>
    <t>3.5. Biscit colour</t>
  </si>
  <si>
    <t>Table 6</t>
  </si>
  <si>
    <r>
      <t>Mean</t>
    </r>
    <r>
      <rPr>
        <sz val="8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 xml:space="preserve"> sensory</t>
    </r>
    <r>
      <rPr>
        <sz val="8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 xml:space="preserve"> scores for the five biscuit formulations</t>
    </r>
  </si>
  <si>
    <t>3.6. Sensory profiling of biscuits</t>
  </si>
  <si>
    <t>PCA plot of the attributes that characterised the differences between the biscuits from the five formulations. Blue circles represent confidence ellipses of the sample position on the plot</t>
  </si>
  <si>
    <t>ACRONYM</t>
  </si>
  <si>
    <t>VARIABLES</t>
  </si>
  <si>
    <t xml:space="preserve">LOCATION </t>
  </si>
  <si>
    <t>Control</t>
  </si>
  <si>
    <t xml:space="preserve"> Full sugar biscuit dough</t>
  </si>
  <si>
    <t>Nutriose (N)</t>
  </si>
  <si>
    <t>30% sugar reduced dough biscuit with Nutriose® FM06</t>
  </si>
  <si>
    <t>Promitor (P)</t>
  </si>
  <si>
    <t>30% sugar reduced dough biscuit with Promitor® 70R</t>
  </si>
  <si>
    <t>Orafti (O)</t>
  </si>
  <si>
    <t>30% sugar reduced dough biscuit with Orafti® HIS</t>
  </si>
  <si>
    <t>Fibruline (F)</t>
  </si>
  <si>
    <t>30% sugar reduced dough biscuit with Fibruline™ Instant</t>
  </si>
  <si>
    <t>Weight Loss (WL)</t>
  </si>
  <si>
    <t>Percentage of weight Loss during baking calcuated using the following formula: WL (%) = (Wdough-Wbiscuit / Wdough) ×100</t>
  </si>
  <si>
    <t>Water activity (aw)</t>
  </si>
  <si>
    <t>Water content available for chemical reaction and microbiological growth</t>
  </si>
  <si>
    <t xml:space="preserve">Mositure </t>
  </si>
  <si>
    <t>Total amount of water in the sample</t>
  </si>
  <si>
    <t xml:space="preserve"> Table 3</t>
  </si>
  <si>
    <t>Length</t>
  </si>
  <si>
    <t>Maximum distance between end to end of the biscuit [cm]</t>
  </si>
  <si>
    <t>Width</t>
  </si>
  <si>
    <t>Maximum distance between end to end of the cross section of the biscuit [cm]</t>
  </si>
  <si>
    <t>Thickness</t>
  </si>
  <si>
    <t>Maximum distance through the biscuit parallel planes [cm]</t>
  </si>
  <si>
    <t>Resistance to penetration (N.s)</t>
  </si>
  <si>
    <t>Number of peaks</t>
  </si>
  <si>
    <t>the peaks are the evidence of local fractures of structures or layers when the probe penetrated them</t>
  </si>
  <si>
    <t>Biscuit breaking strength (N)</t>
  </si>
  <si>
    <t>Maximum force to break the biscuit</t>
  </si>
  <si>
    <t>Fracturability (mm)</t>
  </si>
  <si>
    <t>Distance at the point of break</t>
  </si>
  <si>
    <t>Lightness (L*)</t>
  </si>
  <si>
    <r>
      <t xml:space="preserve"> </t>
    </r>
    <r>
      <rPr>
        <sz val="11"/>
        <rFont val="Calibri"/>
        <family val="2"/>
        <scheme val="minor"/>
      </rPr>
      <t>0 (black) and 100 (white)</t>
    </r>
  </si>
  <si>
    <t>Colour coordinate a*</t>
  </si>
  <si>
    <r>
      <t xml:space="preserve"> </t>
    </r>
    <r>
      <rPr>
        <sz val="11"/>
        <rFont val="Calibri"/>
        <family val="2"/>
        <scheme val="minor"/>
      </rPr>
      <t xml:space="preserve">-a* (greenness) and +a* (redness) </t>
    </r>
  </si>
  <si>
    <t>Colour coordinate b*</t>
  </si>
  <si>
    <r>
      <rPr>
        <sz val="11"/>
        <rFont val="Calibri"/>
        <family val="2"/>
        <scheme val="minor"/>
      </rPr>
      <t>-b* (blueness) and +b* (yellowness)</t>
    </r>
  </si>
  <si>
    <t>PCA</t>
  </si>
  <si>
    <t>Principal Components Analysis</t>
  </si>
  <si>
    <t>Replicate 1</t>
  </si>
  <si>
    <t>Nutriose</t>
  </si>
  <si>
    <t>Promitor</t>
  </si>
  <si>
    <t>Orafti</t>
  </si>
  <si>
    <t>Fibruline</t>
  </si>
  <si>
    <t>Replicate 2</t>
  </si>
  <si>
    <t>Replicate 3</t>
  </si>
  <si>
    <t>Weight Before (g)</t>
  </si>
  <si>
    <t>Weight Before</t>
  </si>
  <si>
    <t>Weight After (g)</t>
  </si>
  <si>
    <t>Weight After</t>
  </si>
  <si>
    <t>% Loss</t>
  </si>
  <si>
    <t>aw</t>
  </si>
  <si>
    <t>Moisture (%)</t>
  </si>
  <si>
    <t>Height (mm)</t>
  </si>
  <si>
    <t>Width (mm)</t>
  </si>
  <si>
    <t>Length (mm)</t>
  </si>
  <si>
    <t>Breaking strength (N)</t>
  </si>
  <si>
    <t>L*</t>
  </si>
  <si>
    <t>a*</t>
  </si>
  <si>
    <t>b*</t>
  </si>
  <si>
    <t>Significance of Sample (p value)</t>
  </si>
  <si>
    <t>Appearance</t>
  </si>
  <si>
    <t>Surface colour</t>
  </si>
  <si>
    <t>c</t>
  </si>
  <si>
    <t>b</t>
  </si>
  <si>
    <t>a</t>
  </si>
  <si>
    <t>ab</t>
  </si>
  <si>
    <t>&lt;.0001</t>
  </si>
  <si>
    <t>Base colour</t>
  </si>
  <si>
    <t>Smoothness of surface</t>
  </si>
  <si>
    <t>bc</t>
  </si>
  <si>
    <t>Evenness of colour</t>
  </si>
  <si>
    <t>Smoothness of sides</t>
  </si>
  <si>
    <t>Brown spots in crumb</t>
  </si>
  <si>
    <t>Aroma</t>
  </si>
  <si>
    <t>Sweet</t>
  </si>
  <si>
    <t>Burnt</t>
  </si>
  <si>
    <t>Buttery</t>
  </si>
  <si>
    <t>abc</t>
  </si>
  <si>
    <t>Floury</t>
  </si>
  <si>
    <t>Cabbage</t>
  </si>
  <si>
    <t>Baked</t>
  </si>
  <si>
    <t>Mouthfeel on First Bite</t>
  </si>
  <si>
    <t>Firmness of Bite</t>
  </si>
  <si>
    <t>Mouthfeel on Second Bite</t>
  </si>
  <si>
    <t>Density of Mouthfeel</t>
  </si>
  <si>
    <t>Flavour on Third Bite</t>
  </si>
  <si>
    <t>Salty</t>
  </si>
  <si>
    <t>Bitter</t>
  </si>
  <si>
    <t>d</t>
  </si>
  <si>
    <t>cd</t>
  </si>
  <si>
    <t>Metallic</t>
  </si>
  <si>
    <t>Caramel</t>
  </si>
  <si>
    <t>Mouthfeel on Fourth Bite</t>
  </si>
  <si>
    <t>Crumbly</t>
  </si>
  <si>
    <t>Crunchy</t>
  </si>
  <si>
    <t>Pasting</t>
  </si>
  <si>
    <t>Dry</t>
  </si>
  <si>
    <t>Granular</t>
  </si>
  <si>
    <t>Rate of clearance</t>
  </si>
  <si>
    <t>After Effects</t>
  </si>
  <si>
    <t>Sour</t>
  </si>
  <si>
    <t>Liquorice</t>
  </si>
  <si>
    <t>Salivating</t>
  </si>
  <si>
    <t>Drying</t>
  </si>
  <si>
    <t>Numbing</t>
  </si>
  <si>
    <t>ToothPacking</t>
  </si>
  <si>
    <t>Total force to penetrate the biscuit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</si>
</sst>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justify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7" fillId="0" borderId="0" xfId="0" quotePrefix="1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 applyAlignment="1">
      <alignment wrapText="1"/>
    </xf>
    <xf numFmtId="2" fontId="0" fillId="0" borderId="0" xfId="0" applyNumberFormat="1"/>
    <xf numFmtId="2" fontId="6" fillId="0" borderId="0" xfId="0" applyNumberFormat="1" applyFont="1"/>
    <xf numFmtId="0" fontId="0" fillId="0" borderId="0" xfId="0" applyAlignment="1">
      <alignment horizontal="right"/>
    </xf>
    <xf numFmtId="164" fontId="10" fillId="0" borderId="0" xfId="0" applyNumberFormat="1" applyFont="1" applyAlignment="1">
      <alignment horizontal="right"/>
    </xf>
    <xf numFmtId="164" fontId="11" fillId="0" borderId="0" xfId="0" applyNumberFormat="1" applyFont="1"/>
    <xf numFmtId="165" fontId="0" fillId="0" borderId="0" xfId="0" applyNumberFormat="1" applyAlignment="1">
      <alignment horizontal="center" wrapText="1"/>
    </xf>
    <xf numFmtId="0" fontId="2" fillId="0" borderId="0" xfId="0" applyFont="1" applyAlignment="1">
      <alignment horizontal="right"/>
    </xf>
    <xf numFmtId="164" fontId="10" fillId="0" borderId="0" xfId="0" applyNumberFormat="1" applyFont="1"/>
    <xf numFmtId="164" fontId="0" fillId="0" borderId="0" xfId="0" applyNumberFormat="1"/>
    <xf numFmtId="164" fontId="12" fillId="0" borderId="0" xfId="0" applyNumberFormat="1" applyFon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PCA Biplot</a:t>
            </a:r>
          </a:p>
        </c:rich>
      </c:tx>
      <c:layout>
        <c:manualLayout>
          <c:xMode val="edge"/>
          <c:yMode val="edge"/>
          <c:x val="0.421875"/>
          <c:y val="2.97397769516728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859375"/>
          <c:y val="8.9219411829304707E-2"/>
          <c:w val="0.83203125"/>
          <c:h val="0.7862460667457477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3"/>
            <c:spPr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Control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5B5-4898-80FC-2B9C593B11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Fibruline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5B5-4898-80FC-2B9C593B11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Nutriose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5B5-4898-80FC-2B9C593B11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Orafti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5B5-4898-80FC-2B9C593B113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Promitor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5B5-4898-80FC-2B9C593B11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00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[2]PCAWork!$D$2:$D$6</c:f>
              <c:numCache>
                <c:formatCode>General</c:formatCode>
                <c:ptCount val="5"/>
                <c:pt idx="0">
                  <c:v>-9.3597071409658863</c:v>
                </c:pt>
                <c:pt idx="1">
                  <c:v>1.1736876394089208</c:v>
                </c:pt>
                <c:pt idx="2">
                  <c:v>-1.2673473885126743</c:v>
                </c:pt>
                <c:pt idx="3">
                  <c:v>4.8399593996905637</c:v>
                </c:pt>
                <c:pt idx="4">
                  <c:v>4.6134093295132939</c:v>
                </c:pt>
              </c:numCache>
            </c:numRef>
          </c:xVal>
          <c:yVal>
            <c:numRef>
              <c:f>[2]PCAWork!$E$2:$E$6</c:f>
              <c:numCache>
                <c:formatCode>General</c:formatCode>
                <c:ptCount val="5"/>
                <c:pt idx="0">
                  <c:v>-3.9990299923210784</c:v>
                </c:pt>
                <c:pt idx="1">
                  <c:v>4.8406545924243582</c:v>
                </c:pt>
                <c:pt idx="2">
                  <c:v>6.3847567369532499</c:v>
                </c:pt>
                <c:pt idx="3">
                  <c:v>-7.4208808152448134</c:v>
                </c:pt>
                <c:pt idx="4">
                  <c:v>0.19449947818828381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B5-4898-80FC-2B9C593B113B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3"/>
            <c:spPr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Surface colour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5B5-4898-80FC-2B9C593B11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Base colour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5B5-4898-80FC-2B9C593B113B}"/>
                </c:ext>
              </c:extLst>
            </c:dLbl>
            <c:dLbl>
              <c:idx val="4"/>
              <c:layout>
                <c:manualLayout>
                  <c:x val="-9.0722430188029779E-2"/>
                  <c:y val="3.51232654297717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Smoothness of surface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5B5-4898-80FC-2B9C593B113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Evenness of colour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5B5-4898-80FC-2B9C593B113B}"/>
                </c:ext>
              </c:extLst>
            </c:dLbl>
            <c:dLbl>
              <c:idx val="8"/>
              <c:layout>
                <c:manualLayout>
                  <c:x val="-9.7146326654523382E-3"/>
                  <c:y val="-1.080715859377587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Smoothness of sides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5B5-4898-80FC-2B9C593B113B}"/>
                </c:ext>
              </c:extLst>
            </c:dLbl>
            <c:dLbl>
              <c:idx val="10"/>
              <c:layout>
                <c:manualLayout>
                  <c:x val="0"/>
                  <c:y val="-1.621073789066389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Brown spots in crumb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5B5-4898-80FC-2B9C593B113B}"/>
                </c:ext>
              </c:extLst>
            </c:dLbl>
            <c:dLbl>
              <c:idx val="12"/>
              <c:layout>
                <c:manualLayout>
                  <c:x val="-0.17322413933231029"/>
                  <c:y val="5.403579296887864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Sweet (Ar)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5B5-4898-80FC-2B9C593B113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Burnt (Ar)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5B5-4898-80FC-2B9C593B113B}"/>
                </c:ext>
              </c:extLst>
            </c:dLbl>
            <c:dLbl>
              <c:idx val="16"/>
              <c:layout>
                <c:manualLayout>
                  <c:x val="-0.16690962809976623"/>
                  <c:y val="-1.62107378906639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Buttery (Ar)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5B5-4898-80FC-2B9C593B113B}"/>
                </c:ext>
              </c:extLst>
            </c:dLbl>
            <c:dLbl>
              <c:idx val="22"/>
              <c:layout>
                <c:manualLayout>
                  <c:x val="2.9143897996357103E-2"/>
                  <c:y val="-9.9064476041665271E-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Baked (Ar)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5B5-4898-80FC-2B9C593B113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Firmness of Bite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5B5-4898-80FC-2B9C593B113B}"/>
                </c:ext>
              </c:extLst>
            </c:dLbl>
            <c:dLbl>
              <c:idx val="26"/>
              <c:layout>
                <c:manualLayout>
                  <c:x val="-0.10661809350333949"/>
                  <c:y val="-2.70177901147686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Density of Mouthfeel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47723132969036"/>
                      <c:h val="6.246537667202484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1-F5B5-4898-80FC-2B9C593B113B}"/>
                </c:ext>
              </c:extLst>
            </c:dLbl>
            <c:dLbl>
              <c:idx val="28"/>
              <c:layout>
                <c:manualLayout>
                  <c:x val="-7.9453456296105146E-2"/>
                  <c:y val="-4.9532238020832635E-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Buttery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5B5-4898-80FC-2B9C593B113B}"/>
                </c:ext>
              </c:extLst>
            </c:dLbl>
            <c:dLbl>
              <c:idx val="30"/>
              <c:layout>
                <c:manualLayout>
                  <c:x val="-0.1149118655250061"/>
                  <c:y val="-1.62107378906639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Sweet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5B5-4898-80FC-2B9C593B113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Floury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5B5-4898-80FC-2B9C593B113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r>
                      <a:rPr lang="en-US"/>
                      <a:t>Baked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5B5-4898-80FC-2B9C593B113B}"/>
                </c:ext>
              </c:extLst>
            </c:dLbl>
            <c:dLbl>
              <c:idx val="38"/>
              <c:layout>
                <c:manualLayout>
                  <c:x val="0"/>
                  <c:y val="1.621073789066379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Burnt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5B5-4898-80FC-2B9C593B113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r>
                      <a:rPr lang="en-US"/>
                      <a:t>Bitter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5B5-4898-80FC-2B9C593B113B}"/>
                </c:ext>
              </c:extLst>
            </c:dLbl>
            <c:dLbl>
              <c:idx val="46"/>
              <c:layout>
                <c:manualLayout>
                  <c:x val="-0.10825734214917125"/>
                  <c:y val="2.1614317187551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Crumbly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F5B5-4898-80FC-2B9C593B113B}"/>
                </c:ext>
              </c:extLst>
            </c:dLbl>
            <c:dLbl>
              <c:idx val="48"/>
              <c:layout>
                <c:manualLayout>
                  <c:x val="0"/>
                  <c:y val="8.10536894533189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Crunchy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5B5-4898-80FC-2B9C593B113B}"/>
                </c:ext>
              </c:extLst>
            </c:dLbl>
            <c:dLbl>
              <c:idx val="50"/>
              <c:layout>
                <c:manualLayout>
                  <c:x val="-0.11215543412264728"/>
                  <c:y val="5.403579296887964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Pasting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F5B5-4898-80FC-2B9C593B113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r>
                      <a:rPr lang="en-US"/>
                      <a:t>Dry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5B5-4898-80FC-2B9C593B113B}"/>
                </c:ext>
              </c:extLst>
            </c:dLbl>
            <c:dLbl>
              <c:idx val="54"/>
              <c:layout>
                <c:manualLayout>
                  <c:x val="-0.18403147693969948"/>
                  <c:y val="-2.701789648443982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Floury(MF)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F5B5-4898-80FC-2B9C593B113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/>
                      <a:t>Granular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5B5-4898-80FC-2B9C593B113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r>
                      <a:rPr lang="en-US"/>
                      <a:t>Rate of clearance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F5B5-4898-80FC-2B9C593B113B}"/>
                </c:ext>
              </c:extLst>
            </c:dLbl>
            <c:dLbl>
              <c:idx val="64"/>
              <c:layout>
                <c:manualLayout>
                  <c:x val="0"/>
                  <c:y val="-8.105368945331946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Bitter_AE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5B5-4898-80FC-2B9C593B113B}"/>
                </c:ext>
              </c:extLst>
            </c:dLbl>
            <c:dLbl>
              <c:idx val="66"/>
              <c:layout>
                <c:manualLayout>
                  <c:x val="7.2859744990891638E-3"/>
                  <c:y val="8.105368945331946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Burnt_AE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F5B5-4898-80FC-2B9C593B11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[2]PCAWork!$H$2:$H$80</c:f>
              <c:numCache>
                <c:formatCode>General</c:formatCode>
                <c:ptCount val="79"/>
                <c:pt idx="0">
                  <c:v>10.85554595397873</c:v>
                </c:pt>
                <c:pt idx="1">
                  <c:v>0</c:v>
                </c:pt>
                <c:pt idx="2">
                  <c:v>11.283928776277991</c:v>
                </c:pt>
                <c:pt idx="3">
                  <c:v>0</c:v>
                </c:pt>
                <c:pt idx="4">
                  <c:v>-4.2642398202595642</c:v>
                </c:pt>
                <c:pt idx="5">
                  <c:v>0</c:v>
                </c:pt>
                <c:pt idx="6">
                  <c:v>-7.9271167144485029</c:v>
                </c:pt>
                <c:pt idx="7">
                  <c:v>0</c:v>
                </c:pt>
                <c:pt idx="8">
                  <c:v>1.9122717572489967</c:v>
                </c:pt>
                <c:pt idx="9">
                  <c:v>0</c:v>
                </c:pt>
                <c:pt idx="10">
                  <c:v>9.608262044056433</c:v>
                </c:pt>
                <c:pt idx="11">
                  <c:v>0</c:v>
                </c:pt>
                <c:pt idx="12">
                  <c:v>-1.6812804687154954</c:v>
                </c:pt>
                <c:pt idx="13">
                  <c:v>0</c:v>
                </c:pt>
                <c:pt idx="14">
                  <c:v>12.021513211089541</c:v>
                </c:pt>
                <c:pt idx="15">
                  <c:v>0</c:v>
                </c:pt>
                <c:pt idx="16">
                  <c:v>-4.4934999046220137</c:v>
                </c:pt>
                <c:pt idx="17">
                  <c:v>0</c:v>
                </c:pt>
                <c:pt idx="18">
                  <c:v>#N/A</c:v>
                </c:pt>
                <c:pt idx="19">
                  <c:v>0</c:v>
                </c:pt>
                <c:pt idx="20">
                  <c:v>#N/A</c:v>
                </c:pt>
                <c:pt idx="21">
                  <c:v>0</c:v>
                </c:pt>
                <c:pt idx="22">
                  <c:v>7.4849525131702048</c:v>
                </c:pt>
                <c:pt idx="23">
                  <c:v>0</c:v>
                </c:pt>
                <c:pt idx="24">
                  <c:v>7.73023834828206</c:v>
                </c:pt>
                <c:pt idx="25">
                  <c:v>0</c:v>
                </c:pt>
                <c:pt idx="26">
                  <c:v>-2.8112625092951052E-2</c:v>
                </c:pt>
                <c:pt idx="27">
                  <c:v>0</c:v>
                </c:pt>
                <c:pt idx="28">
                  <c:v>-1.8112934974002108</c:v>
                </c:pt>
                <c:pt idx="29">
                  <c:v>0</c:v>
                </c:pt>
                <c:pt idx="30">
                  <c:v>-0.64647462771262598</c:v>
                </c:pt>
                <c:pt idx="31">
                  <c:v>0</c:v>
                </c:pt>
                <c:pt idx="32">
                  <c:v>-4.9692673898292332</c:v>
                </c:pt>
                <c:pt idx="33">
                  <c:v>0</c:v>
                </c:pt>
                <c:pt idx="34">
                  <c:v>#N/A</c:v>
                </c:pt>
                <c:pt idx="35">
                  <c:v>0</c:v>
                </c:pt>
                <c:pt idx="36">
                  <c:v>10.686380370192706</c:v>
                </c:pt>
                <c:pt idx="37">
                  <c:v>0</c:v>
                </c:pt>
                <c:pt idx="38">
                  <c:v>13.388596193144458</c:v>
                </c:pt>
                <c:pt idx="39">
                  <c:v>0</c:v>
                </c:pt>
                <c:pt idx="40">
                  <c:v>7.2717724594822091</c:v>
                </c:pt>
                <c:pt idx="41">
                  <c:v>0</c:v>
                </c:pt>
                <c:pt idx="42">
                  <c:v>#N/A</c:v>
                </c:pt>
                <c:pt idx="43">
                  <c:v>0</c:v>
                </c:pt>
                <c:pt idx="44">
                  <c:v>#N/A</c:v>
                </c:pt>
                <c:pt idx="45">
                  <c:v>0</c:v>
                </c:pt>
                <c:pt idx="46">
                  <c:v>-1.016129799124579</c:v>
                </c:pt>
                <c:pt idx="47">
                  <c:v>0</c:v>
                </c:pt>
                <c:pt idx="48">
                  <c:v>9.5903475456015688</c:v>
                </c:pt>
                <c:pt idx="49">
                  <c:v>0</c:v>
                </c:pt>
                <c:pt idx="50">
                  <c:v>-3.629458190494312</c:v>
                </c:pt>
                <c:pt idx="51">
                  <c:v>0</c:v>
                </c:pt>
                <c:pt idx="52">
                  <c:v>2.0807469113475854</c:v>
                </c:pt>
                <c:pt idx="53">
                  <c:v>0</c:v>
                </c:pt>
                <c:pt idx="54">
                  <c:v>-3.8630014306362472</c:v>
                </c:pt>
                <c:pt idx="55">
                  <c:v>0</c:v>
                </c:pt>
                <c:pt idx="56">
                  <c:v>5.5406184941823078</c:v>
                </c:pt>
                <c:pt idx="57">
                  <c:v>0</c:v>
                </c:pt>
                <c:pt idx="58">
                  <c:v>2.514494379003108</c:v>
                </c:pt>
                <c:pt idx="59">
                  <c:v>0</c:v>
                </c:pt>
                <c:pt idx="60">
                  <c:v>#N/A</c:v>
                </c:pt>
                <c:pt idx="61">
                  <c:v>0</c:v>
                </c:pt>
                <c:pt idx="62">
                  <c:v>#N/A</c:v>
                </c:pt>
                <c:pt idx="63">
                  <c:v>0</c:v>
                </c:pt>
                <c:pt idx="64">
                  <c:v>4.9453184755480297</c:v>
                </c:pt>
                <c:pt idx="65">
                  <c:v>0</c:v>
                </c:pt>
                <c:pt idx="66">
                  <c:v>5.9675345734836229</c:v>
                </c:pt>
                <c:pt idx="67">
                  <c:v>0</c:v>
                </c:pt>
                <c:pt idx="68">
                  <c:v>#N/A</c:v>
                </c:pt>
                <c:pt idx="69">
                  <c:v>0</c:v>
                </c:pt>
                <c:pt idx="70">
                  <c:v>#N/A</c:v>
                </c:pt>
                <c:pt idx="71">
                  <c:v>0</c:v>
                </c:pt>
                <c:pt idx="72">
                  <c:v>#N/A</c:v>
                </c:pt>
                <c:pt idx="73">
                  <c:v>0</c:v>
                </c:pt>
                <c:pt idx="74">
                  <c:v>#N/A</c:v>
                </c:pt>
                <c:pt idx="75">
                  <c:v>0</c:v>
                </c:pt>
                <c:pt idx="76">
                  <c:v>#N/A</c:v>
                </c:pt>
                <c:pt idx="77">
                  <c:v>0</c:v>
                </c:pt>
                <c:pt idx="78">
                  <c:v>#N/A</c:v>
                </c:pt>
              </c:numCache>
            </c:numRef>
          </c:xVal>
          <c:yVal>
            <c:numRef>
              <c:f>[2]PCAWork!$I$2:$I$80</c:f>
              <c:numCache>
                <c:formatCode>General</c:formatCode>
                <c:ptCount val="79"/>
                <c:pt idx="0">
                  <c:v>2.2693713126729351</c:v>
                </c:pt>
                <c:pt idx="1">
                  <c:v>0</c:v>
                </c:pt>
                <c:pt idx="2">
                  <c:v>0.80498497492839083</c:v>
                </c:pt>
                <c:pt idx="3">
                  <c:v>0</c:v>
                </c:pt>
                <c:pt idx="4">
                  <c:v>-4.710484973968966</c:v>
                </c:pt>
                <c:pt idx="5">
                  <c:v>0</c:v>
                </c:pt>
                <c:pt idx="6">
                  <c:v>-5.0912790650987167</c:v>
                </c:pt>
                <c:pt idx="7">
                  <c:v>0</c:v>
                </c:pt>
                <c:pt idx="8">
                  <c:v>1.5585669452426485</c:v>
                </c:pt>
                <c:pt idx="9">
                  <c:v>0</c:v>
                </c:pt>
                <c:pt idx="10">
                  <c:v>2.785936997466758</c:v>
                </c:pt>
                <c:pt idx="11">
                  <c:v>0</c:v>
                </c:pt>
                <c:pt idx="12">
                  <c:v>1.2765649558694663</c:v>
                </c:pt>
                <c:pt idx="13">
                  <c:v>0</c:v>
                </c:pt>
                <c:pt idx="14">
                  <c:v>-5.6469652059202824</c:v>
                </c:pt>
                <c:pt idx="15">
                  <c:v>0</c:v>
                </c:pt>
                <c:pt idx="16">
                  <c:v>1.6991671079335948</c:v>
                </c:pt>
                <c:pt idx="17">
                  <c:v>0</c:v>
                </c:pt>
                <c:pt idx="18">
                  <c:v>#N/A</c:v>
                </c:pt>
                <c:pt idx="19">
                  <c:v>0</c:v>
                </c:pt>
                <c:pt idx="20">
                  <c:v>#N/A</c:v>
                </c:pt>
                <c:pt idx="21">
                  <c:v>0</c:v>
                </c:pt>
                <c:pt idx="22">
                  <c:v>-2.030047812648395</c:v>
                </c:pt>
                <c:pt idx="23">
                  <c:v>0</c:v>
                </c:pt>
                <c:pt idx="24">
                  <c:v>5.9054021479968295</c:v>
                </c:pt>
                <c:pt idx="25">
                  <c:v>0</c:v>
                </c:pt>
                <c:pt idx="26">
                  <c:v>3.5299421972566529</c:v>
                </c:pt>
                <c:pt idx="27">
                  <c:v>0</c:v>
                </c:pt>
                <c:pt idx="28">
                  <c:v>1.8025300840024701</c:v>
                </c:pt>
                <c:pt idx="29">
                  <c:v>0</c:v>
                </c:pt>
                <c:pt idx="30">
                  <c:v>2.4371298637743486</c:v>
                </c:pt>
                <c:pt idx="31">
                  <c:v>0</c:v>
                </c:pt>
                <c:pt idx="32">
                  <c:v>-0.49656519940443333</c:v>
                </c:pt>
                <c:pt idx="33">
                  <c:v>0</c:v>
                </c:pt>
                <c:pt idx="34">
                  <c:v>#N/A</c:v>
                </c:pt>
                <c:pt idx="35">
                  <c:v>0</c:v>
                </c:pt>
                <c:pt idx="36">
                  <c:v>3.1485556171371949E-2</c:v>
                </c:pt>
                <c:pt idx="37">
                  <c:v>0</c:v>
                </c:pt>
                <c:pt idx="38">
                  <c:v>-6.3147325611035301</c:v>
                </c:pt>
                <c:pt idx="39">
                  <c:v>0</c:v>
                </c:pt>
                <c:pt idx="40">
                  <c:v>-2.5309915112274219</c:v>
                </c:pt>
                <c:pt idx="41">
                  <c:v>0</c:v>
                </c:pt>
                <c:pt idx="42">
                  <c:v>#N/A</c:v>
                </c:pt>
                <c:pt idx="43">
                  <c:v>0</c:v>
                </c:pt>
                <c:pt idx="44">
                  <c:v>#N/A</c:v>
                </c:pt>
                <c:pt idx="45">
                  <c:v>0</c:v>
                </c:pt>
                <c:pt idx="46">
                  <c:v>-2.7919904359264538</c:v>
                </c:pt>
                <c:pt idx="47">
                  <c:v>0</c:v>
                </c:pt>
                <c:pt idx="48">
                  <c:v>1.9834438838236543</c:v>
                </c:pt>
                <c:pt idx="49">
                  <c:v>0</c:v>
                </c:pt>
                <c:pt idx="50">
                  <c:v>-2.1600896543140116</c:v>
                </c:pt>
                <c:pt idx="51">
                  <c:v>0</c:v>
                </c:pt>
                <c:pt idx="52">
                  <c:v>-0.32027579007759593</c:v>
                </c:pt>
                <c:pt idx="53">
                  <c:v>0</c:v>
                </c:pt>
                <c:pt idx="54">
                  <c:v>-1.7509978662285093</c:v>
                </c:pt>
                <c:pt idx="55">
                  <c:v>0</c:v>
                </c:pt>
                <c:pt idx="56">
                  <c:v>2.036267045267993</c:v>
                </c:pt>
                <c:pt idx="57">
                  <c:v>0</c:v>
                </c:pt>
                <c:pt idx="58">
                  <c:v>0.72548918354436076</c:v>
                </c:pt>
                <c:pt idx="59">
                  <c:v>0</c:v>
                </c:pt>
                <c:pt idx="60">
                  <c:v>#N/A</c:v>
                </c:pt>
                <c:pt idx="61">
                  <c:v>0</c:v>
                </c:pt>
                <c:pt idx="62">
                  <c:v>#N/A</c:v>
                </c:pt>
                <c:pt idx="63">
                  <c:v>0</c:v>
                </c:pt>
                <c:pt idx="64">
                  <c:v>-1.8987047369626726</c:v>
                </c:pt>
                <c:pt idx="65">
                  <c:v>0</c:v>
                </c:pt>
                <c:pt idx="66">
                  <c:v>-2.88008092399118</c:v>
                </c:pt>
                <c:pt idx="67">
                  <c:v>0</c:v>
                </c:pt>
                <c:pt idx="68">
                  <c:v>#N/A</c:v>
                </c:pt>
                <c:pt idx="69">
                  <c:v>0</c:v>
                </c:pt>
                <c:pt idx="70">
                  <c:v>#N/A</c:v>
                </c:pt>
                <c:pt idx="71">
                  <c:v>0</c:v>
                </c:pt>
                <c:pt idx="72">
                  <c:v>#N/A</c:v>
                </c:pt>
                <c:pt idx="73">
                  <c:v>0</c:v>
                </c:pt>
                <c:pt idx="74">
                  <c:v>#N/A</c:v>
                </c:pt>
                <c:pt idx="75">
                  <c:v>0</c:v>
                </c:pt>
                <c:pt idx="76">
                  <c:v>#N/A</c:v>
                </c:pt>
                <c:pt idx="77">
                  <c:v>0</c:v>
                </c:pt>
                <c:pt idx="7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5B5-4898-80FC-2B9C593B113B}"/>
            </c:ext>
          </c:extLst>
        </c:ser>
        <c:ser>
          <c:idx val="2"/>
          <c:order val="2"/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[2]PCAWork!$D$83:$D$188</c:f>
              <c:numCache>
                <c:formatCode>General</c:formatCode>
                <c:ptCount val="106"/>
                <c:pt idx="0">
                  <c:v>-6.4697302551530047</c:v>
                </c:pt>
                <c:pt idx="1">
                  <c:v>-7.4957151865096225</c:v>
                </c:pt>
                <c:pt idx="2">
                  <c:v>-8.7236922288520891</c:v>
                </c:pt>
                <c:pt idx="3">
                  <c:v>-10.020592665087895</c:v>
                </c:pt>
                <c:pt idx="4">
                  <c:v>-11.245875375803353</c:v>
                </c:pt>
                <c:pt idx="5">
                  <c:v>-12.266762227112146</c:v>
                </c:pt>
                <c:pt idx="6">
                  <c:v>-12.972625617630126</c:v>
                </c:pt>
                <c:pt idx="7">
                  <c:v>-13.286972277029307</c:v>
                </c:pt>
                <c:pt idx="8">
                  <c:v>-13.175737761353753</c:v>
                </c:pt>
                <c:pt idx="9">
                  <c:v>-12.650979434526105</c:v>
                </c:pt>
                <c:pt idx="10">
                  <c:v>-11.769559648248633</c:v>
                </c:pt>
                <c:pt idx="11">
                  <c:v>-10.626995677183638</c:v>
                </c:pt>
                <c:pt idx="12">
                  <c:v>-9.3470998759125496</c:v>
                </c:pt>
                <c:pt idx="13">
                  <c:v>-8.0685723904984563</c:v>
                </c:pt>
                <c:pt idx="14">
                  <c:v>-6.9299570405960464</c:v>
                </c:pt>
                <c:pt idx="15">
                  <c:v>-6.054645019051196</c:v>
                </c:pt>
                <c:pt idx="16">
                  <c:v>-5.5374859948056612</c:v>
                </c:pt>
                <c:pt idx="17">
                  <c:v>-5.4345257439696359</c:v>
                </c:pt>
                <c:pt idx="18">
                  <c:v>-5.7569186155655112</c:v>
                </c:pt>
                <c:pt idx="19">
                  <c:v>-6.4697302551530047</c:v>
                </c:pt>
                <c:pt idx="21">
                  <c:v>2.5920720863082076</c:v>
                </c:pt>
                <c:pt idx="22">
                  <c:v>2.2127396193729729</c:v>
                </c:pt>
                <c:pt idx="23">
                  <c:v>1.7208098383078425</c:v>
                </c:pt>
                <c:pt idx="24">
                  <c:v>1.1695882092405929</c:v>
                </c:pt>
                <c:pt idx="25">
                  <c:v>0.6188134897879255</c:v>
                </c:pt>
                <c:pt idx="26">
                  <c:v>0.12816742440583334</c:v>
                </c:pt>
                <c:pt idx="27">
                  <c:v>-0.24918061670991901</c:v>
                </c:pt>
                <c:pt idx="28">
                  <c:v>-0.47233932339217033</c:v>
                </c:pt>
                <c:pt idx="29">
                  <c:v>-0.5171259198296404</c:v>
                </c:pt>
                <c:pt idx="30">
                  <c:v>-0.37868509169106612</c:v>
                </c:pt>
                <c:pt idx="31">
                  <c:v>-7.2022335047953606E-2</c:v>
                </c:pt>
                <c:pt idx="32">
                  <c:v>0.36963287307800646</c:v>
                </c:pt>
                <c:pt idx="33">
                  <c:v>0.8984207429737604</c:v>
                </c:pt>
                <c:pt idx="34">
                  <c:v>1.4570375307251044</c:v>
                </c:pt>
                <c:pt idx="35">
                  <c:v>1.9849481335996413</c:v>
                </c:pt>
                <c:pt idx="36">
                  <c:v>2.4249462817966365</c:v>
                </c:pt>
                <c:pt idx="37">
                  <c:v>2.7293524207562414</c:v>
                </c:pt>
                <c:pt idx="38">
                  <c:v>2.865176160904896</c:v>
                </c:pt>
                <c:pt idx="39">
                  <c:v>2.817702589377284</c:v>
                </c:pt>
                <c:pt idx="40">
                  <c:v>2.5920720863082076</c:v>
                </c:pt>
                <c:pt idx="42">
                  <c:v>0.14931562876007398</c:v>
                </c:pt>
                <c:pt idx="43">
                  <c:v>0.48771080717273763</c:v>
                </c:pt>
                <c:pt idx="44">
                  <c:v>0.63591743800032996</c:v>
                </c:pt>
                <c:pt idx="45">
                  <c:v>0.57787620126535466</c:v>
                </c:pt>
                <c:pt idx="46">
                  <c:v>0.31987509685364079</c:v>
                </c:pt>
                <c:pt idx="47">
                  <c:v>-0.11012367860885489</c:v>
                </c:pt>
                <c:pt idx="48">
                  <c:v>-0.66552749888416984</c:v>
                </c:pt>
                <c:pt idx="49">
                  <c:v>-1.2861488576068043</c:v>
                </c:pt>
                <c:pt idx="50">
                  <c:v>-1.9047306164834648</c:v>
                </c:pt>
                <c:pt idx="51">
                  <c:v>-2.4542436898636906</c:v>
                </c:pt>
                <c:pt idx="52">
                  <c:v>-2.8751369118208512</c:v>
                </c:pt>
                <c:pt idx="53">
                  <c:v>-3.1218015929227518</c:v>
                </c:pt>
                <c:pt idx="54">
                  <c:v>-3.167507756468416</c:v>
                </c:pt>
                <c:pt idx="55">
                  <c:v>-3.0073026140131112</c:v>
                </c:pt>
                <c:pt idx="56">
                  <c:v>-2.6585457534253201</c:v>
                </c:pt>
                <c:pt idx="57">
                  <c:v>-2.1590313828518068</c:v>
                </c:pt>
                <c:pt idx="58">
                  <c:v>-1.562888900549291</c:v>
                </c:pt>
                <c:pt idx="59">
                  <c:v>-0.93471973500260186</c:v>
                </c:pt>
                <c:pt idx="60">
                  <c:v>-0.34259760009710921</c:v>
                </c:pt>
                <c:pt idx="61">
                  <c:v>0.14931562876007398</c:v>
                </c:pt>
                <c:pt idx="63">
                  <c:v>7.7126429064667539</c:v>
                </c:pt>
                <c:pt idx="64">
                  <c:v>8.4063201936669518</c:v>
                </c:pt>
                <c:pt idx="65">
                  <c:v>8.7135273340381136</c:v>
                </c:pt>
                <c:pt idx="66">
                  <c:v>8.6009723199951953</c:v>
                </c:pt>
                <c:pt idx="67">
                  <c:v>8.0808541287954938</c:v>
                </c:pt>
                <c:pt idx="68">
                  <c:v>7.2095330285002026</c:v>
                </c:pt>
                <c:pt idx="69">
                  <c:v>6.0814338480470971</c:v>
                </c:pt>
                <c:pt idx="70">
                  <c:v>4.8188019996652409</c:v>
                </c:pt>
                <c:pt idx="71">
                  <c:v>3.5584617125170035</c:v>
                </c:pt>
                <c:pt idx="72">
                  <c:v>2.4369907717797585</c:v>
                </c:pt>
                <c:pt idx="73">
                  <c:v>1.5759210056066133</c:v>
                </c:pt>
                <c:pt idx="74">
                  <c:v>1.0685590493317745</c:v>
                </c:pt>
                <c:pt idx="75">
                  <c:v>0.96988765948836497</c:v>
                </c:pt>
                <c:pt idx="76">
                  <c:v>1.2905977232762458</c:v>
                </c:pt>
                <c:pt idx="77">
                  <c:v>1.9959369605425572</c:v>
                </c:pt>
                <c:pt idx="78">
                  <c:v>3.0094709532542323</c:v>
                </c:pt>
                <c:pt idx="79">
                  <c:v>4.2213647668743883</c:v>
                </c:pt>
                <c:pt idx="80">
                  <c:v>5.500295022681871</c:v>
                </c:pt>
                <c:pt idx="81">
                  <c:v>6.7076664052639305</c:v>
                </c:pt>
                <c:pt idx="82">
                  <c:v>7.7126429064667539</c:v>
                </c:pt>
                <c:pt idx="84">
                  <c:v>6.106552743174519</c:v>
                </c:pt>
                <c:pt idx="85">
                  <c:v>5.9649283737073775</c:v>
                </c:pt>
                <c:pt idx="86">
                  <c:v>5.6768463900524289</c:v>
                </c:pt>
                <c:pt idx="87">
                  <c:v>5.2735224172644184</c:v>
                </c:pt>
                <c:pt idx="88">
                  <c:v>4.7986653191300137</c:v>
                </c:pt>
                <c:pt idx="89">
                  <c:v>4.3037340710237384</c:v>
                </c:pt>
                <c:pt idx="90">
                  <c:v>3.8423596658296706</c:v>
                </c:pt>
                <c:pt idx="91">
                  <c:v>3.4645408063545231</c:v>
                </c:pt>
                <c:pt idx="92">
                  <c:v>3.2112202985235156</c:v>
                </c:pt>
                <c:pt idx="93">
                  <c:v>3.1098472205162331</c:v>
                </c:pt>
                <c:pt idx="94">
                  <c:v>3.1714085601413737</c:v>
                </c:pt>
                <c:pt idx="95">
                  <c:v>3.3892337775961017</c:v>
                </c:pt>
                <c:pt idx="96">
                  <c:v>3.7397175852130808</c:v>
                </c:pt>
                <c:pt idx="97">
                  <c:v>4.1848781831554751</c:v>
                </c:pt>
                <c:pt idx="98">
                  <c:v>4.6764769200616563</c:v>
                </c:pt>
                <c:pt idx="99">
                  <c:v>5.1612414342197406</c:v>
                </c:pt>
                <c:pt idx="100">
                  <c:v>5.586640535007052</c:v>
                </c:pt>
                <c:pt idx="101">
                  <c:v>5.9065744841556169</c:v>
                </c:pt>
                <c:pt idx="102">
                  <c:v>6.0863719234180982</c:v>
                </c:pt>
                <c:pt idx="103">
                  <c:v>6.106552743174519</c:v>
                </c:pt>
              </c:numCache>
            </c:numRef>
          </c:xVal>
          <c:yVal>
            <c:numRef>
              <c:f>[2]PCAWork!$E$83:$E$188</c:f>
              <c:numCache>
                <c:formatCode>General</c:formatCode>
                <c:ptCount val="106"/>
                <c:pt idx="0">
                  <c:v>-1.189026018773593</c:v>
                </c:pt>
                <c:pt idx="1">
                  <c:v>-0.44713766722501147</c:v>
                </c:pt>
                <c:pt idx="2">
                  <c:v>-9.0152520153102267E-2</c:v>
                </c:pt>
                <c:pt idx="3">
                  <c:v>-0.15675492666536173</c:v>
                </c:pt>
                <c:pt idx="4">
                  <c:v>-0.63972628496246853</c:v>
                </c:pt>
                <c:pt idx="5">
                  <c:v>-1.4867303526486819</c:v>
                </c:pt>
                <c:pt idx="6">
                  <c:v>-2.6059814583867467</c:v>
                </c:pt>
                <c:pt idx="7">
                  <c:v>-3.8761905397401195</c:v>
                </c:pt>
                <c:pt idx="8">
                  <c:v>-5.1597112745517064</c:v>
                </c:pt>
                <c:pt idx="9">
                  <c:v>-6.3174536203045468</c:v>
                </c:pt>
                <c:pt idx="10">
                  <c:v>-7.2239591972935475</c:v>
                </c:pt>
                <c:pt idx="11">
                  <c:v>-7.7809943296187978</c:v>
                </c:pt>
                <c:pt idx="12">
                  <c:v>-7.9281931148958096</c:v>
                </c:pt>
                <c:pt idx="13">
                  <c:v>-7.6496065812000698</c:v>
                </c:pt>
                <c:pt idx="14">
                  <c:v>-6.9754241166935804</c:v>
                </c:pt>
                <c:pt idx="15">
                  <c:v>-5.9787034889881205</c:v>
                </c:pt>
                <c:pt idx="16">
                  <c:v>-4.7674533723436996</c:v>
                </c:pt>
                <c:pt idx="17">
                  <c:v>-3.4729327757838995</c:v>
                </c:pt>
                <c:pt idx="18">
                  <c:v>-2.2354216616636813</c:v>
                </c:pt>
                <c:pt idx="19">
                  <c:v>-1.189026018773593</c:v>
                </c:pt>
                <c:pt idx="21">
                  <c:v>6.0651170492793067</c:v>
                </c:pt>
                <c:pt idx="22">
                  <c:v>6.3491584550608522</c:v>
                </c:pt>
                <c:pt idx="23">
                  <c:v>6.4697302551530047</c:v>
                </c:pt>
                <c:pt idx="24">
                  <c:v>6.4137672400825476</c:v>
                </c:pt>
                <c:pt idx="25">
                  <c:v>6.1873330353609095</c:v>
                </c:pt>
                <c:pt idx="26">
                  <c:v>5.8149653697031356</c:v>
                </c:pt>
                <c:pt idx="27">
                  <c:v>5.3370166869509834</c:v>
                </c:pt>
                <c:pt idx="28">
                  <c:v>4.8052788457721434</c:v>
                </c:pt>
                <c:pt idx="29">
                  <c:v>4.2773737603002546</c:v>
                </c:pt>
                <c:pt idx="30">
                  <c:v>3.8105095394702708</c:v>
                </c:pt>
                <c:pt idx="31">
                  <c:v>3.455278926440795</c:v>
                </c:pt>
                <c:pt idx="32">
                  <c:v>3.2501731612266047</c:v>
                </c:pt>
                <c:pt idx="33">
                  <c:v>3.2174218591011745</c:v>
                </c:pt>
                <c:pt idx="34">
                  <c:v>3.3605745491021337</c:v>
                </c:pt>
                <c:pt idx="35">
                  <c:v>3.6641144558458203</c:v>
                </c:pt>
                <c:pt idx="36">
                  <c:v>4.0951523421405751</c:v>
                </c:pt>
                <c:pt idx="37">
                  <c:v>4.6069760380243698</c:v>
                </c:pt>
                <c:pt idx="38">
                  <c:v>5.1441227729336054</c:v>
                </c:pt>
                <c:pt idx="39">
                  <c:v>5.6483857880538304</c:v>
                </c:pt>
                <c:pt idx="40">
                  <c:v>6.0651170492793067</c:v>
                </c:pt>
                <c:pt idx="42">
                  <c:v>5.0043651246960978</c:v>
                </c:pt>
                <c:pt idx="43">
                  <c:v>5.5052220632475741</c:v>
                </c:pt>
                <c:pt idx="44">
                  <c:v>6.1013884542949022</c:v>
                </c:pt>
                <c:pt idx="45">
                  <c:v>6.7282628693532551</c:v>
                </c:pt>
                <c:pt idx="46">
                  <c:v>7.3179132078719222</c:v>
                </c:pt>
                <c:pt idx="47">
                  <c:v>7.8064405906367353</c:v>
                </c:pt>
                <c:pt idx="48">
                  <c:v>8.1409073783631953</c:v>
                </c:pt>
                <c:pt idx="49">
                  <c:v>8.2850679139147356</c:v>
                </c:pt>
                <c:pt idx="50">
                  <c:v>8.223298752123144</c:v>
                </c:pt>
                <c:pt idx="51">
                  <c:v>7.9622961806702852</c:v>
                </c:pt>
                <c:pt idx="52">
                  <c:v>7.5303424055357686</c:v>
                </c:pt>
                <c:pt idx="53">
                  <c:v>6.9742470707950925</c:v>
                </c:pt>
                <c:pt idx="54">
                  <c:v>6.354269409048193</c:v>
                </c:pt>
                <c:pt idx="55">
                  <c:v>5.7375966714881432</c:v>
                </c:pt>
                <c:pt idx="56">
                  <c:v>5.1910537998673831</c:v>
                </c:pt>
                <c:pt idx="57">
                  <c:v>4.7738664333562433</c:v>
                </c:pt>
                <c:pt idx="58">
                  <c:v>4.5312441692619627</c:v>
                </c:pt>
                <c:pt idx="59">
                  <c:v>4.4894792703420174</c:v>
                </c:pt>
                <c:pt idx="60">
                  <c:v>4.6530960067687213</c:v>
                </c:pt>
                <c:pt idx="61">
                  <c:v>5.0043651246960978</c:v>
                </c:pt>
                <c:pt idx="63">
                  <c:v>-10.205960841891814</c:v>
                </c:pt>
                <c:pt idx="64">
                  <c:v>-9.1790158824742409</c:v>
                </c:pt>
                <c:pt idx="65">
                  <c:v>-7.961549492178432</c:v>
                </c:pt>
                <c:pt idx="66">
                  <c:v>-6.6854938031511617</c:v>
                </c:pt>
                <c:pt idx="67">
                  <c:v>-5.4891277997199657</c:v>
                </c:pt>
                <c:pt idx="68">
                  <c:v>-4.5020975702006529</c:v>
                </c:pt>
                <c:pt idx="69">
                  <c:v>-3.8313634823498894</c:v>
                </c:pt>
                <c:pt idx="70">
                  <c:v>-3.5496081203993137</c:v>
                </c:pt>
                <c:pt idx="71">
                  <c:v>-3.6873647906093918</c:v>
                </c:pt>
                <c:pt idx="72">
                  <c:v>-4.2297070796799225</c:v>
                </c:pt>
                <c:pt idx="73">
                  <c:v>-5.1178636145920242</c:v>
                </c:pt>
                <c:pt idx="74">
                  <c:v>-6.2555851452652691</c:v>
                </c:pt>
                <c:pt idx="75">
                  <c:v>-7.519587148638335</c:v>
                </c:pt>
                <c:pt idx="76">
                  <c:v>-8.7728909082746735</c:v>
                </c:pt>
                <c:pt idx="77">
                  <c:v>-9.879683718830929</c:v>
                </c:pt>
                <c:pt idx="78">
                  <c:v>-10.720028281519603</c:v>
                </c:pt>
                <c:pt idx="79">
                  <c:v>-11.202858026482048</c:v>
                </c:pt>
                <c:pt idx="80">
                  <c:v>-11.275851424396254</c:v>
                </c:pt>
                <c:pt idx="81">
                  <c:v>-10.931100198131753</c:v>
                </c:pt>
                <c:pt idx="82">
                  <c:v>-10.205960841891814</c:v>
                </c:pt>
                <c:pt idx="84">
                  <c:v>0.98474418568834376</c:v>
                </c:pt>
                <c:pt idx="85">
                  <c:v>1.0566598509517469</c:v>
                </c:pt>
                <c:pt idx="86">
                  <c:v>1.0351456588884451</c:v>
                </c:pt>
                <c:pt idx="87">
                  <c:v>0.92253547081903431</c:v>
                </c:pt>
                <c:pt idx="88">
                  <c:v>0.73103010313502947</c:v>
                </c:pt>
                <c:pt idx="89">
                  <c:v>0.48138418546836437</c:v>
                </c:pt>
                <c:pt idx="90">
                  <c:v>0.20064954300788385</c:v>
                </c:pt>
                <c:pt idx="91">
                  <c:v>-8.0750866038929017E-2</c:v>
                </c:pt>
                <c:pt idx="92">
                  <c:v>-0.33232419636436822</c:v>
                </c:pt>
                <c:pt idx="93">
                  <c:v>-0.52680896147892087</c:v>
                </c:pt>
                <c:pt idx="94">
                  <c:v>-0.64312868326278549</c:v>
                </c:pt>
                <c:pt idx="95">
                  <c:v>-0.66867793579684165</c:v>
                </c:pt>
                <c:pt idx="96">
                  <c:v>-0.60068882208542596</c:v>
                </c:pt>
                <c:pt idx="97">
                  <c:v>-0.44652707466517078</c:v>
                </c:pt>
                <c:pt idx="98">
                  <c:v>-0.22290306702617343</c:v>
                </c:pt>
                <c:pt idx="99">
                  <c:v>4.5954446664876199E-2</c:v>
                </c:pt>
                <c:pt idx="100">
                  <c:v>0.33090806301774983</c:v>
                </c:pt>
                <c:pt idx="101">
                  <c:v>0.60108055767351654</c:v>
                </c:pt>
                <c:pt idx="102">
                  <c:v>0.82719291390728622</c:v>
                </c:pt>
                <c:pt idx="103">
                  <c:v>0.98474418568834376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5B5-4898-80FC-2B9C593B1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282895"/>
        <c:axId val="1"/>
      </c:scatterChart>
      <c:valAx>
        <c:axId val="561282895"/>
        <c:scaling>
          <c:orientation val="minMax"/>
          <c:max val="15"/>
          <c:min val="-1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Dimension 1 (76.0%)</a:t>
                </a:r>
              </a:p>
            </c:rich>
          </c:tx>
          <c:layout>
            <c:manualLayout>
              <c:xMode val="edge"/>
              <c:yMode val="edge"/>
              <c:x val="0.470703125"/>
              <c:y val="0.931227546370830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"/>
          <c:min val="-15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Dimension 2 (14.4%)</a:t>
                </a:r>
              </a:p>
            </c:rich>
          </c:tx>
          <c:layout>
            <c:manualLayout>
              <c:xMode val="edge"/>
              <c:yMode val="edge"/>
              <c:x val="3.125E-2"/>
              <c:y val="0.408922323371288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128289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47625</xdr:colOff>
      <xdr:row>26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8C32D-2447-46A3-BAE4-DE9B19E32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eChoc_D&amp;B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personal/sf908816_reading_ac_uk/Documents/2.%20Research/1.%20Projects/Finished/10.%20SuReChoc_EIT%20Food%202019/SureChoc%20Publication/Experimental%20data/Sensory/Lisas%20revision_April%202022/Final%20sensory%20data%20analysis/model%20cookies%205%20samples_raw7Aug19%20(senpaq%20stats%202).xls?C84F387C" TargetMode="External"/><Relationship Id="rId1" Type="http://schemas.openxmlformats.org/officeDocument/2006/relationships/externalLinkPath" Target="file:///\\C84F387C\model%20cookies%205%20samples_raw7Aug19%20(senpaq%20stats%20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able 1_DP"/>
      <sheetName val="Figure 1_viscoelastic prop"/>
      <sheetName val="Figure 2_Tan Loss"/>
      <sheetName val="Table 3_WL"/>
      <sheetName val="Table 3_aw"/>
      <sheetName val="Table 3_Moisture"/>
      <sheetName val="Table 4_Dimensions"/>
      <sheetName val="Figure 3_Resistance to penetrat"/>
      <sheetName val="Figure 3_Number of peaks"/>
      <sheetName val="Figure 4_Breaking strength"/>
      <sheetName val="Figure 4_Fracturability"/>
      <sheetName val="Table 5_Colour parameters"/>
      <sheetName val="Table 6_sensory profile of bisc"/>
      <sheetName val="Figure 4_P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sage"/>
      <sheetName val="ANOVA"/>
      <sheetName val="Means"/>
      <sheetName val="MultiComp"/>
      <sheetName val="MC_Summary"/>
      <sheetName val="BarCharts"/>
      <sheetName val="StarDiagrams"/>
      <sheetName val="PCA"/>
      <sheetName val="PCA_Plot"/>
      <sheetName val="CVA"/>
      <sheetName val="CVA_Plot"/>
      <sheetName val="AssessorSummary"/>
      <sheetName val="AssessorPerformance"/>
      <sheetName val="SampleByAssessorMeans"/>
      <sheetName val="Work"/>
      <sheetName val="PCAWork"/>
      <sheetName val="IntWork"/>
      <sheetName val="CVAwork"/>
      <sheetName val="Summary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D2">
            <v>-9.3597071409658863</v>
          </cell>
          <cell r="E2">
            <v>-3.9990299923210784</v>
          </cell>
          <cell r="H2">
            <v>10.85554595397873</v>
          </cell>
          <cell r="I2">
            <v>2.2693713126729351</v>
          </cell>
        </row>
        <row r="3">
          <cell r="D3">
            <v>1.1736876394089208</v>
          </cell>
          <cell r="E3">
            <v>4.8406545924243582</v>
          </cell>
          <cell r="H3">
            <v>0</v>
          </cell>
          <cell r="I3">
            <v>0</v>
          </cell>
        </row>
        <row r="4">
          <cell r="D4">
            <v>-1.2673473885126743</v>
          </cell>
          <cell r="E4">
            <v>6.3847567369532499</v>
          </cell>
          <cell r="H4">
            <v>11.283928776277991</v>
          </cell>
          <cell r="I4">
            <v>0.80498497492839083</v>
          </cell>
        </row>
        <row r="5">
          <cell r="D5">
            <v>4.8399593996905637</v>
          </cell>
          <cell r="E5">
            <v>-7.4208808152448134</v>
          </cell>
          <cell r="H5">
            <v>0</v>
          </cell>
          <cell r="I5">
            <v>0</v>
          </cell>
        </row>
        <row r="6">
          <cell r="D6">
            <v>4.6134093295132939</v>
          </cell>
          <cell r="E6">
            <v>0.19449947818828381</v>
          </cell>
          <cell r="H6">
            <v>-4.2642398202595642</v>
          </cell>
          <cell r="I6">
            <v>-4.710484973968966</v>
          </cell>
        </row>
        <row r="7">
          <cell r="H7">
            <v>0</v>
          </cell>
          <cell r="I7">
            <v>0</v>
          </cell>
        </row>
        <row r="8">
          <cell r="H8">
            <v>-7.9271167144485029</v>
          </cell>
          <cell r="I8">
            <v>-5.0912790650987167</v>
          </cell>
        </row>
        <row r="9">
          <cell r="H9">
            <v>0</v>
          </cell>
          <cell r="I9">
            <v>0</v>
          </cell>
        </row>
        <row r="10">
          <cell r="H10">
            <v>1.9122717572489967</v>
          </cell>
          <cell r="I10">
            <v>1.5585669452426485</v>
          </cell>
        </row>
        <row r="11">
          <cell r="H11">
            <v>0</v>
          </cell>
          <cell r="I11">
            <v>0</v>
          </cell>
        </row>
        <row r="12">
          <cell r="H12">
            <v>9.608262044056433</v>
          </cell>
          <cell r="I12">
            <v>2.785936997466758</v>
          </cell>
        </row>
        <row r="13">
          <cell r="H13">
            <v>0</v>
          </cell>
          <cell r="I13">
            <v>0</v>
          </cell>
        </row>
        <row r="14">
          <cell r="H14">
            <v>-1.6812804687154954</v>
          </cell>
          <cell r="I14">
            <v>1.2765649558694663</v>
          </cell>
        </row>
        <row r="15">
          <cell r="H15">
            <v>0</v>
          </cell>
          <cell r="I15">
            <v>0</v>
          </cell>
        </row>
        <row r="16">
          <cell r="H16">
            <v>12.021513211089541</v>
          </cell>
          <cell r="I16">
            <v>-5.6469652059202824</v>
          </cell>
        </row>
        <row r="17">
          <cell r="H17">
            <v>0</v>
          </cell>
          <cell r="I17">
            <v>0</v>
          </cell>
        </row>
        <row r="18">
          <cell r="H18">
            <v>-4.4934999046220137</v>
          </cell>
          <cell r="I18">
            <v>1.6991671079335948</v>
          </cell>
        </row>
        <row r="19">
          <cell r="H19">
            <v>0</v>
          </cell>
          <cell r="I19">
            <v>0</v>
          </cell>
        </row>
        <row r="20">
          <cell r="H20" t="e">
            <v>#N/A</v>
          </cell>
          <cell r="I20" t="e">
            <v>#N/A</v>
          </cell>
        </row>
        <row r="21">
          <cell r="H21">
            <v>0</v>
          </cell>
          <cell r="I21">
            <v>0</v>
          </cell>
        </row>
        <row r="22">
          <cell r="H22" t="e">
            <v>#N/A</v>
          </cell>
          <cell r="I22" t="e">
            <v>#N/A</v>
          </cell>
        </row>
        <row r="23">
          <cell r="H23">
            <v>0</v>
          </cell>
          <cell r="I23">
            <v>0</v>
          </cell>
        </row>
        <row r="24">
          <cell r="H24">
            <v>7.4849525131702048</v>
          </cell>
          <cell r="I24">
            <v>-2.030047812648395</v>
          </cell>
        </row>
        <row r="25">
          <cell r="H25">
            <v>0</v>
          </cell>
          <cell r="I25">
            <v>0</v>
          </cell>
        </row>
        <row r="26">
          <cell r="H26">
            <v>7.73023834828206</v>
          </cell>
          <cell r="I26">
            <v>5.9054021479968295</v>
          </cell>
        </row>
        <row r="27">
          <cell r="H27">
            <v>0</v>
          </cell>
          <cell r="I27">
            <v>0</v>
          </cell>
        </row>
        <row r="28">
          <cell r="H28">
            <v>-2.8112625092951052E-2</v>
          </cell>
          <cell r="I28">
            <v>3.5299421972566529</v>
          </cell>
        </row>
        <row r="29">
          <cell r="H29">
            <v>0</v>
          </cell>
          <cell r="I29">
            <v>0</v>
          </cell>
        </row>
        <row r="30">
          <cell r="H30">
            <v>-1.8112934974002108</v>
          </cell>
          <cell r="I30">
            <v>1.8025300840024701</v>
          </cell>
        </row>
        <row r="31">
          <cell r="H31">
            <v>0</v>
          </cell>
          <cell r="I31">
            <v>0</v>
          </cell>
        </row>
        <row r="32">
          <cell r="H32">
            <v>-0.64647462771262598</v>
          </cell>
          <cell r="I32">
            <v>2.4371298637743486</v>
          </cell>
        </row>
        <row r="33">
          <cell r="H33">
            <v>0</v>
          </cell>
          <cell r="I33">
            <v>0</v>
          </cell>
        </row>
        <row r="34">
          <cell r="H34">
            <v>-4.9692673898292332</v>
          </cell>
          <cell r="I34">
            <v>-0.49656519940443333</v>
          </cell>
        </row>
        <row r="35">
          <cell r="H35">
            <v>0</v>
          </cell>
          <cell r="I35">
            <v>0</v>
          </cell>
        </row>
        <row r="36">
          <cell r="H36" t="e">
            <v>#N/A</v>
          </cell>
          <cell r="I36" t="e">
            <v>#N/A</v>
          </cell>
        </row>
        <row r="37">
          <cell r="H37">
            <v>0</v>
          </cell>
          <cell r="I37">
            <v>0</v>
          </cell>
        </row>
        <row r="38">
          <cell r="H38">
            <v>10.686380370192706</v>
          </cell>
          <cell r="I38">
            <v>3.1485556171371949E-2</v>
          </cell>
        </row>
        <row r="39">
          <cell r="H39">
            <v>0</v>
          </cell>
          <cell r="I39">
            <v>0</v>
          </cell>
        </row>
        <row r="40">
          <cell r="H40">
            <v>13.388596193144458</v>
          </cell>
          <cell r="I40">
            <v>-6.3147325611035301</v>
          </cell>
        </row>
        <row r="41">
          <cell r="H41">
            <v>0</v>
          </cell>
          <cell r="I41">
            <v>0</v>
          </cell>
        </row>
        <row r="42">
          <cell r="H42">
            <v>7.2717724594822091</v>
          </cell>
          <cell r="I42">
            <v>-2.5309915112274219</v>
          </cell>
        </row>
        <row r="43">
          <cell r="H43">
            <v>0</v>
          </cell>
          <cell r="I43">
            <v>0</v>
          </cell>
        </row>
        <row r="44">
          <cell r="H44" t="e">
            <v>#N/A</v>
          </cell>
          <cell r="I44" t="e">
            <v>#N/A</v>
          </cell>
        </row>
        <row r="45">
          <cell r="H45">
            <v>0</v>
          </cell>
          <cell r="I45">
            <v>0</v>
          </cell>
        </row>
        <row r="46">
          <cell r="H46" t="e">
            <v>#N/A</v>
          </cell>
          <cell r="I46" t="e">
            <v>#N/A</v>
          </cell>
        </row>
        <row r="47">
          <cell r="H47">
            <v>0</v>
          </cell>
          <cell r="I47">
            <v>0</v>
          </cell>
        </row>
        <row r="48">
          <cell r="H48">
            <v>-1.016129799124579</v>
          </cell>
          <cell r="I48">
            <v>-2.7919904359264538</v>
          </cell>
        </row>
        <row r="49">
          <cell r="H49">
            <v>0</v>
          </cell>
          <cell r="I49">
            <v>0</v>
          </cell>
        </row>
        <row r="50">
          <cell r="H50">
            <v>9.5903475456015688</v>
          </cell>
          <cell r="I50">
            <v>1.9834438838236543</v>
          </cell>
        </row>
        <row r="51">
          <cell r="H51">
            <v>0</v>
          </cell>
          <cell r="I51">
            <v>0</v>
          </cell>
        </row>
        <row r="52">
          <cell r="H52">
            <v>-3.629458190494312</v>
          </cell>
          <cell r="I52">
            <v>-2.1600896543140116</v>
          </cell>
        </row>
        <row r="53">
          <cell r="H53">
            <v>0</v>
          </cell>
          <cell r="I53">
            <v>0</v>
          </cell>
        </row>
        <row r="54">
          <cell r="H54">
            <v>2.0807469113475854</v>
          </cell>
          <cell r="I54">
            <v>-0.32027579007759593</v>
          </cell>
        </row>
        <row r="55">
          <cell r="H55">
            <v>0</v>
          </cell>
          <cell r="I55">
            <v>0</v>
          </cell>
        </row>
        <row r="56">
          <cell r="H56">
            <v>-3.8630014306362472</v>
          </cell>
          <cell r="I56">
            <v>-1.7509978662285093</v>
          </cell>
        </row>
        <row r="57">
          <cell r="H57">
            <v>0</v>
          </cell>
          <cell r="I57">
            <v>0</v>
          </cell>
        </row>
        <row r="58">
          <cell r="H58">
            <v>5.5406184941823078</v>
          </cell>
          <cell r="I58">
            <v>2.036267045267993</v>
          </cell>
        </row>
        <row r="59">
          <cell r="H59">
            <v>0</v>
          </cell>
          <cell r="I59">
            <v>0</v>
          </cell>
        </row>
        <row r="60">
          <cell r="H60">
            <v>2.514494379003108</v>
          </cell>
          <cell r="I60">
            <v>0.72548918354436076</v>
          </cell>
        </row>
        <row r="61">
          <cell r="H61">
            <v>0</v>
          </cell>
          <cell r="I61">
            <v>0</v>
          </cell>
        </row>
        <row r="62">
          <cell r="H62" t="e">
            <v>#N/A</v>
          </cell>
          <cell r="I62" t="e">
            <v>#N/A</v>
          </cell>
        </row>
        <row r="63">
          <cell r="H63">
            <v>0</v>
          </cell>
          <cell r="I63">
            <v>0</v>
          </cell>
        </row>
        <row r="64">
          <cell r="H64" t="e">
            <v>#N/A</v>
          </cell>
          <cell r="I64" t="e">
            <v>#N/A</v>
          </cell>
        </row>
        <row r="65">
          <cell r="H65">
            <v>0</v>
          </cell>
          <cell r="I65">
            <v>0</v>
          </cell>
        </row>
        <row r="66">
          <cell r="H66">
            <v>4.9453184755480297</v>
          </cell>
          <cell r="I66">
            <v>-1.8987047369626726</v>
          </cell>
        </row>
        <row r="67">
          <cell r="H67">
            <v>0</v>
          </cell>
          <cell r="I67">
            <v>0</v>
          </cell>
        </row>
        <row r="68">
          <cell r="H68">
            <v>5.9675345734836229</v>
          </cell>
          <cell r="I68">
            <v>-2.88008092399118</v>
          </cell>
        </row>
        <row r="69">
          <cell r="H69">
            <v>0</v>
          </cell>
          <cell r="I69">
            <v>0</v>
          </cell>
        </row>
        <row r="70">
          <cell r="H70" t="e">
            <v>#N/A</v>
          </cell>
          <cell r="I70" t="e">
            <v>#N/A</v>
          </cell>
        </row>
        <row r="71">
          <cell r="H71">
            <v>0</v>
          </cell>
          <cell r="I71">
            <v>0</v>
          </cell>
        </row>
        <row r="72">
          <cell r="H72" t="e">
            <v>#N/A</v>
          </cell>
          <cell r="I72" t="e">
            <v>#N/A</v>
          </cell>
        </row>
        <row r="73">
          <cell r="H73">
            <v>0</v>
          </cell>
          <cell r="I73">
            <v>0</v>
          </cell>
        </row>
        <row r="74">
          <cell r="H74" t="e">
            <v>#N/A</v>
          </cell>
          <cell r="I74" t="e">
            <v>#N/A</v>
          </cell>
        </row>
        <row r="75">
          <cell r="H75">
            <v>0</v>
          </cell>
          <cell r="I75">
            <v>0</v>
          </cell>
        </row>
        <row r="76">
          <cell r="H76" t="e">
            <v>#N/A</v>
          </cell>
          <cell r="I76" t="e">
            <v>#N/A</v>
          </cell>
        </row>
        <row r="77">
          <cell r="H77">
            <v>0</v>
          </cell>
          <cell r="I77">
            <v>0</v>
          </cell>
        </row>
        <row r="78">
          <cell r="H78" t="e">
            <v>#N/A</v>
          </cell>
          <cell r="I78" t="e">
            <v>#N/A</v>
          </cell>
        </row>
        <row r="79">
          <cell r="H79">
            <v>0</v>
          </cell>
          <cell r="I79">
            <v>0</v>
          </cell>
        </row>
        <row r="80">
          <cell r="H80" t="e">
            <v>#N/A</v>
          </cell>
          <cell r="I80" t="e">
            <v>#N/A</v>
          </cell>
        </row>
        <row r="83">
          <cell r="D83">
            <v>-6.4697302551530047</v>
          </cell>
          <cell r="E83">
            <v>-1.189026018773593</v>
          </cell>
        </row>
        <row r="84">
          <cell r="D84">
            <v>-7.4957151865096225</v>
          </cell>
          <cell r="E84">
            <v>-0.44713766722501147</v>
          </cell>
        </row>
        <row r="85">
          <cell r="D85">
            <v>-8.7236922288520891</v>
          </cell>
          <cell r="E85">
            <v>-9.0152520153102267E-2</v>
          </cell>
        </row>
        <row r="86">
          <cell r="D86">
            <v>-10.020592665087895</v>
          </cell>
          <cell r="E86">
            <v>-0.15675492666536173</v>
          </cell>
        </row>
        <row r="87">
          <cell r="D87">
            <v>-11.245875375803353</v>
          </cell>
          <cell r="E87">
            <v>-0.63972628496246853</v>
          </cell>
        </row>
        <row r="88">
          <cell r="D88">
            <v>-12.266762227112146</v>
          </cell>
          <cell r="E88">
            <v>-1.4867303526486819</v>
          </cell>
        </row>
        <row r="89">
          <cell r="D89">
            <v>-12.972625617630126</v>
          </cell>
          <cell r="E89">
            <v>-2.6059814583867467</v>
          </cell>
        </row>
        <row r="90">
          <cell r="D90">
            <v>-13.286972277029307</v>
          </cell>
          <cell r="E90">
            <v>-3.8761905397401195</v>
          </cell>
        </row>
        <row r="91">
          <cell r="D91">
            <v>-13.175737761353753</v>
          </cell>
          <cell r="E91">
            <v>-5.1597112745517064</v>
          </cell>
        </row>
        <row r="92">
          <cell r="D92">
            <v>-12.650979434526105</v>
          </cell>
          <cell r="E92">
            <v>-6.3174536203045468</v>
          </cell>
        </row>
        <row r="93">
          <cell r="D93">
            <v>-11.769559648248633</v>
          </cell>
          <cell r="E93">
            <v>-7.2239591972935475</v>
          </cell>
        </row>
        <row r="94">
          <cell r="D94">
            <v>-10.626995677183638</v>
          </cell>
          <cell r="E94">
            <v>-7.7809943296187978</v>
          </cell>
        </row>
        <row r="95">
          <cell r="D95">
            <v>-9.3470998759125496</v>
          </cell>
          <cell r="E95">
            <v>-7.9281931148958096</v>
          </cell>
        </row>
        <row r="96">
          <cell r="D96">
            <v>-8.0685723904984563</v>
          </cell>
          <cell r="E96">
            <v>-7.6496065812000698</v>
          </cell>
        </row>
        <row r="97">
          <cell r="D97">
            <v>-6.9299570405960464</v>
          </cell>
          <cell r="E97">
            <v>-6.9754241166935804</v>
          </cell>
        </row>
        <row r="98">
          <cell r="D98">
            <v>-6.054645019051196</v>
          </cell>
          <cell r="E98">
            <v>-5.9787034889881205</v>
          </cell>
        </row>
        <row r="99">
          <cell r="D99">
            <v>-5.5374859948056612</v>
          </cell>
          <cell r="E99">
            <v>-4.7674533723436996</v>
          </cell>
        </row>
        <row r="100">
          <cell r="D100">
            <v>-5.4345257439696359</v>
          </cell>
          <cell r="E100">
            <v>-3.4729327757838995</v>
          </cell>
        </row>
        <row r="101">
          <cell r="D101">
            <v>-5.7569186155655112</v>
          </cell>
          <cell r="E101">
            <v>-2.2354216616636813</v>
          </cell>
        </row>
        <row r="102">
          <cell r="D102">
            <v>-6.4697302551530047</v>
          </cell>
          <cell r="E102">
            <v>-1.189026018773593</v>
          </cell>
        </row>
        <row r="104">
          <cell r="D104">
            <v>2.5920720863082076</v>
          </cell>
          <cell r="E104">
            <v>6.0651170492793067</v>
          </cell>
        </row>
        <row r="105">
          <cell r="D105">
            <v>2.2127396193729729</v>
          </cell>
          <cell r="E105">
            <v>6.3491584550608522</v>
          </cell>
        </row>
        <row r="106">
          <cell r="D106">
            <v>1.7208098383078425</v>
          </cell>
          <cell r="E106">
            <v>6.4697302551530047</v>
          </cell>
        </row>
        <row r="107">
          <cell r="D107">
            <v>1.1695882092405929</v>
          </cell>
          <cell r="E107">
            <v>6.4137672400825476</v>
          </cell>
        </row>
        <row r="108">
          <cell r="D108">
            <v>0.6188134897879255</v>
          </cell>
          <cell r="E108">
            <v>6.1873330353609095</v>
          </cell>
        </row>
        <row r="109">
          <cell r="D109">
            <v>0.12816742440583334</v>
          </cell>
          <cell r="E109">
            <v>5.8149653697031356</v>
          </cell>
        </row>
        <row r="110">
          <cell r="D110">
            <v>-0.24918061670991901</v>
          </cell>
          <cell r="E110">
            <v>5.3370166869509834</v>
          </cell>
        </row>
        <row r="111">
          <cell r="D111">
            <v>-0.47233932339217033</v>
          </cell>
          <cell r="E111">
            <v>4.8052788457721434</v>
          </cell>
        </row>
        <row r="112">
          <cell r="D112">
            <v>-0.5171259198296404</v>
          </cell>
          <cell r="E112">
            <v>4.2773737603002546</v>
          </cell>
        </row>
        <row r="113">
          <cell r="D113">
            <v>-0.37868509169106612</v>
          </cell>
          <cell r="E113">
            <v>3.8105095394702708</v>
          </cell>
        </row>
        <row r="114">
          <cell r="D114">
            <v>-7.2022335047953606E-2</v>
          </cell>
          <cell r="E114">
            <v>3.455278926440795</v>
          </cell>
        </row>
        <row r="115">
          <cell r="D115">
            <v>0.36963287307800646</v>
          </cell>
          <cell r="E115">
            <v>3.2501731612266047</v>
          </cell>
        </row>
        <row r="116">
          <cell r="D116">
            <v>0.8984207429737604</v>
          </cell>
          <cell r="E116">
            <v>3.2174218591011745</v>
          </cell>
        </row>
        <row r="117">
          <cell r="D117">
            <v>1.4570375307251044</v>
          </cell>
          <cell r="E117">
            <v>3.3605745491021337</v>
          </cell>
        </row>
        <row r="118">
          <cell r="D118">
            <v>1.9849481335996413</v>
          </cell>
          <cell r="E118">
            <v>3.6641144558458203</v>
          </cell>
        </row>
        <row r="119">
          <cell r="D119">
            <v>2.4249462817966365</v>
          </cell>
          <cell r="E119">
            <v>4.0951523421405751</v>
          </cell>
        </row>
        <row r="120">
          <cell r="D120">
            <v>2.7293524207562414</v>
          </cell>
          <cell r="E120">
            <v>4.6069760380243698</v>
          </cell>
        </row>
        <row r="121">
          <cell r="D121">
            <v>2.865176160904896</v>
          </cell>
          <cell r="E121">
            <v>5.1441227729336054</v>
          </cell>
        </row>
        <row r="122">
          <cell r="D122">
            <v>2.817702589377284</v>
          </cell>
          <cell r="E122">
            <v>5.6483857880538304</v>
          </cell>
        </row>
        <row r="123">
          <cell r="D123">
            <v>2.5920720863082076</v>
          </cell>
          <cell r="E123">
            <v>6.0651170492793067</v>
          </cell>
        </row>
        <row r="125">
          <cell r="D125">
            <v>0.14931562876007398</v>
          </cell>
          <cell r="E125">
            <v>5.0043651246960978</v>
          </cell>
        </row>
        <row r="126">
          <cell r="D126">
            <v>0.48771080717273763</v>
          </cell>
          <cell r="E126">
            <v>5.5052220632475741</v>
          </cell>
        </row>
        <row r="127">
          <cell r="D127">
            <v>0.63591743800032996</v>
          </cell>
          <cell r="E127">
            <v>6.1013884542949022</v>
          </cell>
        </row>
        <row r="128">
          <cell r="D128">
            <v>0.57787620126535466</v>
          </cell>
          <cell r="E128">
            <v>6.7282628693532551</v>
          </cell>
        </row>
        <row r="129">
          <cell r="D129">
            <v>0.31987509685364079</v>
          </cell>
          <cell r="E129">
            <v>7.3179132078719222</v>
          </cell>
        </row>
        <row r="130">
          <cell r="D130">
            <v>-0.11012367860885489</v>
          </cell>
          <cell r="E130">
            <v>7.8064405906367353</v>
          </cell>
        </row>
        <row r="131">
          <cell r="D131">
            <v>-0.66552749888416984</v>
          </cell>
          <cell r="E131">
            <v>8.1409073783631953</v>
          </cell>
        </row>
        <row r="132">
          <cell r="D132">
            <v>-1.2861488576068043</v>
          </cell>
          <cell r="E132">
            <v>8.2850679139147356</v>
          </cell>
        </row>
        <row r="133">
          <cell r="D133">
            <v>-1.9047306164834648</v>
          </cell>
          <cell r="E133">
            <v>8.223298752123144</v>
          </cell>
        </row>
        <row r="134">
          <cell r="D134">
            <v>-2.4542436898636906</v>
          </cell>
          <cell r="E134">
            <v>7.9622961806702852</v>
          </cell>
        </row>
        <row r="135">
          <cell r="D135">
            <v>-2.8751369118208512</v>
          </cell>
          <cell r="E135">
            <v>7.5303424055357686</v>
          </cell>
        </row>
        <row r="136">
          <cell r="D136">
            <v>-3.1218015929227518</v>
          </cell>
          <cell r="E136">
            <v>6.9742470707950925</v>
          </cell>
        </row>
        <row r="137">
          <cell r="D137">
            <v>-3.167507756468416</v>
          </cell>
          <cell r="E137">
            <v>6.354269409048193</v>
          </cell>
        </row>
        <row r="138">
          <cell r="D138">
            <v>-3.0073026140131112</v>
          </cell>
          <cell r="E138">
            <v>5.7375966714881432</v>
          </cell>
        </row>
        <row r="139">
          <cell r="D139">
            <v>-2.6585457534253201</v>
          </cell>
          <cell r="E139">
            <v>5.1910537998673831</v>
          </cell>
        </row>
        <row r="140">
          <cell r="D140">
            <v>-2.1590313828518068</v>
          </cell>
          <cell r="E140">
            <v>4.7738664333562433</v>
          </cell>
        </row>
        <row r="141">
          <cell r="D141">
            <v>-1.562888900549291</v>
          </cell>
          <cell r="E141">
            <v>4.5312441692619627</v>
          </cell>
        </row>
        <row r="142">
          <cell r="D142">
            <v>-0.93471973500260186</v>
          </cell>
          <cell r="E142">
            <v>4.4894792703420174</v>
          </cell>
        </row>
        <row r="143">
          <cell r="D143">
            <v>-0.34259760009710921</v>
          </cell>
          <cell r="E143">
            <v>4.6530960067687213</v>
          </cell>
        </row>
        <row r="144">
          <cell r="D144">
            <v>0.14931562876007398</v>
          </cell>
          <cell r="E144">
            <v>5.0043651246960978</v>
          </cell>
        </row>
        <row r="146">
          <cell r="D146">
            <v>7.7126429064667539</v>
          </cell>
          <cell r="E146">
            <v>-10.205960841891814</v>
          </cell>
        </row>
        <row r="147">
          <cell r="D147">
            <v>8.4063201936669518</v>
          </cell>
          <cell r="E147">
            <v>-9.1790158824742409</v>
          </cell>
        </row>
        <row r="148">
          <cell r="D148">
            <v>8.7135273340381136</v>
          </cell>
          <cell r="E148">
            <v>-7.961549492178432</v>
          </cell>
        </row>
        <row r="149">
          <cell r="D149">
            <v>8.6009723199951953</v>
          </cell>
          <cell r="E149">
            <v>-6.6854938031511617</v>
          </cell>
        </row>
        <row r="150">
          <cell r="D150">
            <v>8.0808541287954938</v>
          </cell>
          <cell r="E150">
            <v>-5.4891277997199657</v>
          </cell>
        </row>
        <row r="151">
          <cell r="D151">
            <v>7.2095330285002026</v>
          </cell>
          <cell r="E151">
            <v>-4.5020975702006529</v>
          </cell>
        </row>
        <row r="152">
          <cell r="D152">
            <v>6.0814338480470971</v>
          </cell>
          <cell r="E152">
            <v>-3.8313634823498894</v>
          </cell>
        </row>
        <row r="153">
          <cell r="D153">
            <v>4.8188019996652409</v>
          </cell>
          <cell r="E153">
            <v>-3.5496081203993137</v>
          </cell>
        </row>
        <row r="154">
          <cell r="D154">
            <v>3.5584617125170035</v>
          </cell>
          <cell r="E154">
            <v>-3.6873647906093918</v>
          </cell>
        </row>
        <row r="155">
          <cell r="D155">
            <v>2.4369907717797585</v>
          </cell>
          <cell r="E155">
            <v>-4.2297070796799225</v>
          </cell>
        </row>
        <row r="156">
          <cell r="D156">
            <v>1.5759210056066133</v>
          </cell>
          <cell r="E156">
            <v>-5.1178636145920242</v>
          </cell>
        </row>
        <row r="157">
          <cell r="D157">
            <v>1.0685590493317745</v>
          </cell>
          <cell r="E157">
            <v>-6.2555851452652691</v>
          </cell>
        </row>
        <row r="158">
          <cell r="D158">
            <v>0.96988765948836497</v>
          </cell>
          <cell r="E158">
            <v>-7.519587148638335</v>
          </cell>
        </row>
        <row r="159">
          <cell r="D159">
            <v>1.2905977232762458</v>
          </cell>
          <cell r="E159">
            <v>-8.7728909082746735</v>
          </cell>
        </row>
        <row r="160">
          <cell r="D160">
            <v>1.9959369605425572</v>
          </cell>
          <cell r="E160">
            <v>-9.879683718830929</v>
          </cell>
        </row>
        <row r="161">
          <cell r="D161">
            <v>3.0094709532542323</v>
          </cell>
          <cell r="E161">
            <v>-10.720028281519603</v>
          </cell>
        </row>
        <row r="162">
          <cell r="D162">
            <v>4.2213647668743883</v>
          </cell>
          <cell r="E162">
            <v>-11.202858026482048</v>
          </cell>
        </row>
        <row r="163">
          <cell r="D163">
            <v>5.500295022681871</v>
          </cell>
          <cell r="E163">
            <v>-11.275851424396254</v>
          </cell>
        </row>
        <row r="164">
          <cell r="D164">
            <v>6.7076664052639305</v>
          </cell>
          <cell r="E164">
            <v>-10.931100198131753</v>
          </cell>
        </row>
        <row r="165">
          <cell r="D165">
            <v>7.7126429064667539</v>
          </cell>
          <cell r="E165">
            <v>-10.205960841891814</v>
          </cell>
        </row>
        <row r="167">
          <cell r="D167">
            <v>6.106552743174519</v>
          </cell>
          <cell r="E167">
            <v>0.98474418568834376</v>
          </cell>
        </row>
        <row r="168">
          <cell r="D168">
            <v>5.9649283737073775</v>
          </cell>
          <cell r="E168">
            <v>1.0566598509517469</v>
          </cell>
        </row>
        <row r="169">
          <cell r="D169">
            <v>5.6768463900524289</v>
          </cell>
          <cell r="E169">
            <v>1.0351456588884451</v>
          </cell>
        </row>
        <row r="170">
          <cell r="D170">
            <v>5.2735224172644184</v>
          </cell>
          <cell r="E170">
            <v>0.92253547081903431</v>
          </cell>
        </row>
        <row r="171">
          <cell r="D171">
            <v>4.7986653191300137</v>
          </cell>
          <cell r="E171">
            <v>0.73103010313502947</v>
          </cell>
        </row>
        <row r="172">
          <cell r="D172">
            <v>4.3037340710237384</v>
          </cell>
          <cell r="E172">
            <v>0.48138418546836437</v>
          </cell>
        </row>
        <row r="173">
          <cell r="D173">
            <v>3.8423596658296706</v>
          </cell>
          <cell r="E173">
            <v>0.20064954300788385</v>
          </cell>
        </row>
        <row r="174">
          <cell r="D174">
            <v>3.4645408063545231</v>
          </cell>
          <cell r="E174">
            <v>-8.0750866038929017E-2</v>
          </cell>
        </row>
        <row r="175">
          <cell r="D175">
            <v>3.2112202985235156</v>
          </cell>
          <cell r="E175">
            <v>-0.33232419636436822</v>
          </cell>
        </row>
        <row r="176">
          <cell r="D176">
            <v>3.1098472205162331</v>
          </cell>
          <cell r="E176">
            <v>-0.52680896147892087</v>
          </cell>
        </row>
        <row r="177">
          <cell r="D177">
            <v>3.1714085601413737</v>
          </cell>
          <cell r="E177">
            <v>-0.64312868326278549</v>
          </cell>
        </row>
        <row r="178">
          <cell r="D178">
            <v>3.3892337775961017</v>
          </cell>
          <cell r="E178">
            <v>-0.66867793579684165</v>
          </cell>
        </row>
        <row r="179">
          <cell r="D179">
            <v>3.7397175852130808</v>
          </cell>
          <cell r="E179">
            <v>-0.60068882208542596</v>
          </cell>
        </row>
        <row r="180">
          <cell r="D180">
            <v>4.1848781831554751</v>
          </cell>
          <cell r="E180">
            <v>-0.44652707466517078</v>
          </cell>
        </row>
        <row r="181">
          <cell r="D181">
            <v>4.6764769200616563</v>
          </cell>
          <cell r="E181">
            <v>-0.22290306702617343</v>
          </cell>
        </row>
        <row r="182">
          <cell r="D182">
            <v>5.1612414342197406</v>
          </cell>
          <cell r="E182">
            <v>4.5954446664876199E-2</v>
          </cell>
        </row>
        <row r="183">
          <cell r="D183">
            <v>5.586640535007052</v>
          </cell>
          <cell r="E183">
            <v>0.33090806301774983</v>
          </cell>
        </row>
        <row r="184">
          <cell r="D184">
            <v>5.9065744841556169</v>
          </cell>
          <cell r="E184">
            <v>0.60108055767351654</v>
          </cell>
        </row>
        <row r="185">
          <cell r="D185">
            <v>6.0863719234180982</v>
          </cell>
          <cell r="E185">
            <v>0.82719291390728622</v>
          </cell>
        </row>
        <row r="186">
          <cell r="D186">
            <v>6.106552743174519</v>
          </cell>
          <cell r="E186">
            <v>0.98474418568834376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CD73-A0C4-4C8A-A4F4-F367D987B56F}">
  <dimension ref="A1:C37"/>
  <sheetViews>
    <sheetView tabSelected="1" topLeftCell="A4" workbookViewId="0">
      <selection activeCell="C23" sqref="C23"/>
    </sheetView>
  </sheetViews>
  <sheetFormatPr defaultRowHeight="15" x14ac:dyDescent="0.25"/>
  <cols>
    <col min="1" max="1" width="28.28515625" bestFit="1" customWidth="1"/>
    <col min="2" max="2" width="53" customWidth="1"/>
    <col min="3" max="3" width="5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4.5" customHeight="1" x14ac:dyDescent="0.25">
      <c r="A2" s="2" t="s">
        <v>3</v>
      </c>
      <c r="B2" s="3" t="s">
        <v>4</v>
      </c>
      <c r="C2" s="2" t="s">
        <v>5</v>
      </c>
    </row>
    <row r="3" spans="1:3" ht="34.5" customHeight="1" x14ac:dyDescent="0.25">
      <c r="A3" s="2" t="s">
        <v>6</v>
      </c>
      <c r="B3" s="4" t="s">
        <v>7</v>
      </c>
      <c r="C3" s="2" t="s">
        <v>8</v>
      </c>
    </row>
    <row r="4" spans="1:3" ht="34.5" customHeight="1" x14ac:dyDescent="0.25">
      <c r="A4" s="2" t="s">
        <v>9</v>
      </c>
      <c r="B4" s="4" t="s">
        <v>10</v>
      </c>
      <c r="C4" s="2" t="s">
        <v>11</v>
      </c>
    </row>
    <row r="5" spans="1:3" ht="34.5" customHeight="1" x14ac:dyDescent="0.25">
      <c r="A5" s="2" t="s">
        <v>12</v>
      </c>
      <c r="B5" t="s">
        <v>13</v>
      </c>
      <c r="C5" s="2" t="s">
        <v>11</v>
      </c>
    </row>
    <row r="6" spans="1:3" ht="34.5" customHeight="1" x14ac:dyDescent="0.25">
      <c r="A6" s="2" t="s">
        <v>14</v>
      </c>
      <c r="B6" s="2" t="s">
        <v>15</v>
      </c>
      <c r="C6" s="2" t="s">
        <v>16</v>
      </c>
    </row>
    <row r="7" spans="1:3" ht="34.5" customHeight="1" x14ac:dyDescent="0.25">
      <c r="A7" s="2" t="s">
        <v>17</v>
      </c>
      <c r="B7" t="s">
        <v>18</v>
      </c>
      <c r="C7" s="2" t="s">
        <v>19</v>
      </c>
    </row>
    <row r="8" spans="1:3" ht="34.5" customHeight="1" x14ac:dyDescent="0.25">
      <c r="A8" s="2" t="s">
        <v>12</v>
      </c>
      <c r="B8" t="s">
        <v>20</v>
      </c>
      <c r="C8" s="2" t="s">
        <v>19</v>
      </c>
    </row>
    <row r="10" spans="1:3" x14ac:dyDescent="0.25">
      <c r="A10" s="1" t="s">
        <v>21</v>
      </c>
      <c r="B10" s="1" t="s">
        <v>22</v>
      </c>
      <c r="C10" s="1" t="s">
        <v>23</v>
      </c>
    </row>
    <row r="11" spans="1:3" ht="46.5" customHeight="1" x14ac:dyDescent="0.25">
      <c r="A11" t="s">
        <v>24</v>
      </c>
      <c r="B11" t="s">
        <v>25</v>
      </c>
    </row>
    <row r="12" spans="1:3" ht="46.5" customHeight="1" x14ac:dyDescent="0.25">
      <c r="A12" t="s">
        <v>26</v>
      </c>
      <c r="B12" t="s">
        <v>27</v>
      </c>
    </row>
    <row r="13" spans="1:3" ht="46.5" customHeight="1" x14ac:dyDescent="0.25">
      <c r="A13" t="s">
        <v>28</v>
      </c>
      <c r="B13" t="s">
        <v>29</v>
      </c>
      <c r="C13" s="5"/>
    </row>
    <row r="14" spans="1:3" ht="46.5" customHeight="1" x14ac:dyDescent="0.25">
      <c r="A14" t="s">
        <v>30</v>
      </c>
      <c r="B14" t="s">
        <v>31</v>
      </c>
      <c r="C14" s="5"/>
    </row>
    <row r="15" spans="1:3" ht="46.5" customHeight="1" x14ac:dyDescent="0.25">
      <c r="A15" t="s">
        <v>32</v>
      </c>
      <c r="B15" t="s">
        <v>33</v>
      </c>
      <c r="C15" s="5"/>
    </row>
    <row r="16" spans="1:3" ht="46.5" customHeight="1" x14ac:dyDescent="0.25">
      <c r="A16" t="s">
        <v>34</v>
      </c>
      <c r="B16" s="6" t="s">
        <v>35</v>
      </c>
      <c r="C16" s="5" t="s">
        <v>3</v>
      </c>
    </row>
    <row r="17" spans="1:3" ht="46.5" customHeight="1" x14ac:dyDescent="0.25">
      <c r="A17" t="s">
        <v>36</v>
      </c>
      <c r="B17" s="6" t="s">
        <v>37</v>
      </c>
      <c r="C17" s="5" t="s">
        <v>3</v>
      </c>
    </row>
    <row r="18" spans="1:3" ht="46.5" customHeight="1" x14ac:dyDescent="0.25">
      <c r="A18" s="4" t="s">
        <v>38</v>
      </c>
      <c r="B18" s="7" t="s">
        <v>39</v>
      </c>
      <c r="C18" s="5" t="s">
        <v>40</v>
      </c>
    </row>
    <row r="19" spans="1:3" ht="46.5" customHeight="1" x14ac:dyDescent="0.25">
      <c r="A19" s="8" t="s">
        <v>41</v>
      </c>
      <c r="B19" s="8" t="s">
        <v>42</v>
      </c>
      <c r="C19" s="9" t="s">
        <v>6</v>
      </c>
    </row>
    <row r="20" spans="1:3" ht="46.5" customHeight="1" x14ac:dyDescent="0.25">
      <c r="A20" s="8" t="s">
        <v>43</v>
      </c>
      <c r="B20" s="8" t="s">
        <v>44</v>
      </c>
      <c r="C20" s="9" t="s">
        <v>6</v>
      </c>
    </row>
    <row r="21" spans="1:3" ht="46.5" customHeight="1" x14ac:dyDescent="0.25">
      <c r="A21" s="8" t="s">
        <v>45</v>
      </c>
      <c r="B21" s="8" t="s">
        <v>46</v>
      </c>
      <c r="C21" s="9" t="s">
        <v>6</v>
      </c>
    </row>
    <row r="22" spans="1:3" ht="46.5" customHeight="1" x14ac:dyDescent="0.25">
      <c r="A22" t="s">
        <v>47</v>
      </c>
      <c r="B22" s="7" t="s">
        <v>130</v>
      </c>
      <c r="C22" s="5" t="s">
        <v>9</v>
      </c>
    </row>
    <row r="23" spans="1:3" ht="46.5" customHeight="1" x14ac:dyDescent="0.25">
      <c r="A23" t="s">
        <v>48</v>
      </c>
      <c r="B23" s="7" t="s">
        <v>49</v>
      </c>
      <c r="C23" s="5" t="s">
        <v>9</v>
      </c>
    </row>
    <row r="24" spans="1:3" ht="46.5" customHeight="1" x14ac:dyDescent="0.25">
      <c r="A24" s="8" t="s">
        <v>50</v>
      </c>
      <c r="B24" s="7" t="s">
        <v>51</v>
      </c>
      <c r="C24" s="5" t="s">
        <v>12</v>
      </c>
    </row>
    <row r="25" spans="1:3" ht="46.5" customHeight="1" x14ac:dyDescent="0.25">
      <c r="A25" s="8" t="s">
        <v>52</v>
      </c>
      <c r="B25" s="7" t="s">
        <v>53</v>
      </c>
      <c r="C25" s="5" t="s">
        <v>12</v>
      </c>
    </row>
    <row r="26" spans="1:3" ht="46.5" customHeight="1" x14ac:dyDescent="0.25">
      <c r="A26" s="8" t="s">
        <v>54</v>
      </c>
      <c r="B26" s="10" t="s">
        <v>55</v>
      </c>
      <c r="C26" s="9" t="s">
        <v>14</v>
      </c>
    </row>
    <row r="27" spans="1:3" ht="46.5" customHeight="1" x14ac:dyDescent="0.25">
      <c r="A27" s="8" t="s">
        <v>56</v>
      </c>
      <c r="B27" s="10" t="s">
        <v>57</v>
      </c>
      <c r="C27" s="9" t="s">
        <v>14</v>
      </c>
    </row>
    <row r="28" spans="1:3" ht="46.5" customHeight="1" x14ac:dyDescent="0.25">
      <c r="A28" s="8" t="s">
        <v>58</v>
      </c>
      <c r="B28" s="11" t="s">
        <v>59</v>
      </c>
      <c r="C28" s="9" t="s">
        <v>14</v>
      </c>
    </row>
    <row r="29" spans="1:3" ht="46.5" customHeight="1" x14ac:dyDescent="0.25">
      <c r="A29" s="8" t="s">
        <v>60</v>
      </c>
      <c r="B29" s="12" t="s">
        <v>61</v>
      </c>
      <c r="C29" s="9" t="s">
        <v>12</v>
      </c>
    </row>
    <row r="30" spans="1:3" x14ac:dyDescent="0.25">
      <c r="A30" s="13"/>
      <c r="B30" s="13"/>
      <c r="C30" s="13"/>
    </row>
    <row r="34" spans="1:3" x14ac:dyDescent="0.25">
      <c r="A34" s="13"/>
      <c r="B34" s="13"/>
      <c r="C34" s="13"/>
    </row>
    <row r="35" spans="1:3" x14ac:dyDescent="0.25">
      <c r="A35" s="13"/>
      <c r="B35" s="13"/>
      <c r="C35" s="14"/>
    </row>
    <row r="36" spans="1:3" x14ac:dyDescent="0.25">
      <c r="A36" s="13"/>
      <c r="B36" s="13"/>
      <c r="C36" s="13"/>
    </row>
    <row r="37" spans="1:3" x14ac:dyDescent="0.25">
      <c r="A37" s="13"/>
      <c r="B37" s="13"/>
      <c r="C37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22A7-4748-4FE2-9AC4-F3BB67352629}">
  <dimension ref="A1:T4"/>
  <sheetViews>
    <sheetView workbookViewId="0">
      <selection activeCell="H1" sqref="H1:T1"/>
    </sheetView>
  </sheetViews>
  <sheetFormatPr defaultRowHeight="15" x14ac:dyDescent="0.25"/>
  <cols>
    <col min="1" max="1" width="17.7109375" customWidth="1"/>
    <col min="8" max="8" width="14.5703125" customWidth="1"/>
    <col min="15" max="15" width="13.140625" customWidth="1"/>
  </cols>
  <sheetData>
    <row r="1" spans="1:20" x14ac:dyDescent="0.25">
      <c r="A1" s="15" t="s">
        <v>62</v>
      </c>
      <c r="B1" s="16" t="s">
        <v>24</v>
      </c>
      <c r="C1" s="16" t="s">
        <v>63</v>
      </c>
      <c r="D1" s="16" t="s">
        <v>64</v>
      </c>
      <c r="E1" s="16" t="s">
        <v>65</v>
      </c>
      <c r="F1" s="16" t="s">
        <v>66</v>
      </c>
      <c r="H1" s="15" t="s">
        <v>67</v>
      </c>
      <c r="I1" s="16" t="s">
        <v>24</v>
      </c>
      <c r="J1" s="16" t="s">
        <v>63</v>
      </c>
      <c r="K1" s="16" t="s">
        <v>64</v>
      </c>
      <c r="L1" s="16" t="s">
        <v>65</v>
      </c>
      <c r="M1" s="16" t="s">
        <v>66</v>
      </c>
      <c r="O1" s="15" t="s">
        <v>68</v>
      </c>
      <c r="P1" s="16" t="s">
        <v>24</v>
      </c>
      <c r="Q1" s="16" t="s">
        <v>63</v>
      </c>
      <c r="R1" s="16" t="s">
        <v>64</v>
      </c>
      <c r="S1" s="16" t="s">
        <v>65</v>
      </c>
      <c r="T1" s="16" t="s">
        <v>66</v>
      </c>
    </row>
    <row r="2" spans="1:20" x14ac:dyDescent="0.25">
      <c r="A2" s="15" t="s">
        <v>69</v>
      </c>
      <c r="B2" s="17">
        <v>181.1</v>
      </c>
      <c r="C2" s="17">
        <v>181.2</v>
      </c>
      <c r="D2" s="17">
        <v>185</v>
      </c>
      <c r="E2" s="17">
        <v>178.9</v>
      </c>
      <c r="F2" s="17">
        <v>174.1</v>
      </c>
      <c r="H2" s="18" t="s">
        <v>70</v>
      </c>
      <c r="I2" s="17">
        <v>181.4</v>
      </c>
      <c r="J2" s="17">
        <v>183.2</v>
      </c>
      <c r="K2" s="17">
        <v>178.4</v>
      </c>
      <c r="L2" s="17">
        <v>182.1</v>
      </c>
      <c r="M2" s="17">
        <v>179.6</v>
      </c>
      <c r="O2" s="18" t="s">
        <v>70</v>
      </c>
      <c r="P2" s="19">
        <v>179.5</v>
      </c>
      <c r="Q2" s="19">
        <v>181</v>
      </c>
      <c r="R2" s="19">
        <v>184.4</v>
      </c>
      <c r="S2" s="19">
        <v>181.2</v>
      </c>
      <c r="T2" s="19">
        <v>177.6</v>
      </c>
    </row>
    <row r="3" spans="1:20" x14ac:dyDescent="0.25">
      <c r="A3" s="15" t="s">
        <v>71</v>
      </c>
      <c r="B3" s="17">
        <v>153.69999999999999</v>
      </c>
      <c r="C3" s="17">
        <v>153</v>
      </c>
      <c r="D3" s="17">
        <v>156.5</v>
      </c>
      <c r="E3" s="17">
        <v>150.5</v>
      </c>
      <c r="F3" s="17">
        <v>147.5</v>
      </c>
      <c r="H3" s="18" t="s">
        <v>72</v>
      </c>
      <c r="I3" s="17">
        <v>153.30000000000001</v>
      </c>
      <c r="J3" s="17">
        <v>154</v>
      </c>
      <c r="K3" s="17">
        <v>149.80000000000001</v>
      </c>
      <c r="L3" s="17">
        <v>153.9</v>
      </c>
      <c r="M3" s="17">
        <v>152.69999999999999</v>
      </c>
      <c r="O3" s="18" t="s">
        <v>72</v>
      </c>
      <c r="P3" s="19">
        <v>152.80000000000001</v>
      </c>
      <c r="Q3" s="19">
        <v>152.6</v>
      </c>
      <c r="R3" s="19">
        <v>156.5</v>
      </c>
      <c r="S3" s="19">
        <v>155.1</v>
      </c>
      <c r="T3" s="19">
        <v>150.69999999999999</v>
      </c>
    </row>
    <row r="4" spans="1:20" x14ac:dyDescent="0.25">
      <c r="A4" s="15" t="s">
        <v>73</v>
      </c>
      <c r="B4" s="20">
        <f>((B2-B3)/B2)*100</f>
        <v>15.12976256212038</v>
      </c>
      <c r="C4" s="20">
        <f>((C2-C3)/C2)*100</f>
        <v>15.562913907284761</v>
      </c>
      <c r="D4" s="20">
        <f>((D2-D3)/D2)*100</f>
        <v>15.405405405405407</v>
      </c>
      <c r="E4" s="20">
        <f>((E2-E3)/E2)*100</f>
        <v>15.874790385690332</v>
      </c>
      <c r="F4" s="20">
        <f>((F2-F3)/F2)*100</f>
        <v>15.278575531303845</v>
      </c>
      <c r="H4" s="18" t="s">
        <v>73</v>
      </c>
      <c r="I4" s="20">
        <f>((I2-I3)/I2)*100</f>
        <v>15.490628445424473</v>
      </c>
      <c r="J4" s="20">
        <f>((J2-J3)/J2)*100</f>
        <v>15.938864628820957</v>
      </c>
      <c r="K4" s="20">
        <f>((K2-K3)/K2)*100</f>
        <v>16.031390134529143</v>
      </c>
      <c r="L4" s="20">
        <f>((L2-L3)/L2)*100</f>
        <v>15.485996705107077</v>
      </c>
      <c r="M4" s="20">
        <f>((M2-M3)/M2)*100</f>
        <v>14.977728285077955</v>
      </c>
      <c r="O4" s="18" t="s">
        <v>73</v>
      </c>
      <c r="P4" s="20">
        <f>((P2-P3)/P2)*100</f>
        <v>14.874651810584952</v>
      </c>
      <c r="Q4" s="20">
        <f>((Q2-Q3)/Q2)*100</f>
        <v>15.690607734806633</v>
      </c>
      <c r="R4" s="20">
        <f>((R2-R3)/R2)*100</f>
        <v>15.13015184381779</v>
      </c>
      <c r="S4" s="20">
        <f>((S2-S3)/S2)*100</f>
        <v>14.403973509933774</v>
      </c>
      <c r="T4" s="20">
        <f>((T2-T3)/T2)*100</f>
        <v>15.146396396396399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7C4A-4859-438E-BF59-9EE14FDEE524}">
  <dimension ref="A1:W4"/>
  <sheetViews>
    <sheetView workbookViewId="0">
      <selection activeCell="H1" sqref="H1:T1"/>
    </sheetView>
  </sheetViews>
  <sheetFormatPr defaultRowHeight="15" x14ac:dyDescent="0.25"/>
  <cols>
    <col min="2" max="2" width="3.85546875" customWidth="1"/>
    <col min="10" max="10" width="3.85546875" customWidth="1"/>
    <col min="18" max="18" width="4.140625" customWidth="1"/>
  </cols>
  <sheetData>
    <row r="1" spans="1:23" x14ac:dyDescent="0.25">
      <c r="A1" s="15" t="s">
        <v>62</v>
      </c>
      <c r="B1" s="15"/>
      <c r="C1" s="16" t="s">
        <v>24</v>
      </c>
      <c r="D1" s="16" t="s">
        <v>63</v>
      </c>
      <c r="E1" s="16" t="s">
        <v>64</v>
      </c>
      <c r="F1" s="16" t="s">
        <v>65</v>
      </c>
      <c r="G1" s="16" t="s">
        <v>66</v>
      </c>
      <c r="I1" s="15" t="s">
        <v>67</v>
      </c>
      <c r="J1" s="15"/>
      <c r="K1" s="16" t="s">
        <v>24</v>
      </c>
      <c r="L1" s="16" t="s">
        <v>63</v>
      </c>
      <c r="M1" s="16" t="s">
        <v>64</v>
      </c>
      <c r="N1" s="16" t="s">
        <v>65</v>
      </c>
      <c r="O1" s="16" t="s">
        <v>66</v>
      </c>
      <c r="Q1" s="15" t="s">
        <v>68</v>
      </c>
      <c r="R1" s="15"/>
      <c r="S1" s="16" t="s">
        <v>24</v>
      </c>
      <c r="T1" s="16" t="s">
        <v>63</v>
      </c>
      <c r="U1" s="16" t="s">
        <v>64</v>
      </c>
      <c r="V1" s="16" t="s">
        <v>65</v>
      </c>
      <c r="W1" s="16" t="s">
        <v>66</v>
      </c>
    </row>
    <row r="2" spans="1:23" x14ac:dyDescent="0.25">
      <c r="A2">
        <v>1.1000000000000001</v>
      </c>
      <c r="B2" t="s">
        <v>74</v>
      </c>
      <c r="C2" s="21">
        <v>0.254</v>
      </c>
      <c r="D2" s="21">
        <v>0.24199999999999999</v>
      </c>
      <c r="E2" s="21">
        <v>0.27200000000000002</v>
      </c>
      <c r="F2" s="21">
        <v>0.22700000000000001</v>
      </c>
      <c r="G2">
        <v>0.254</v>
      </c>
      <c r="I2" s="21">
        <v>2.1</v>
      </c>
      <c r="J2" t="s">
        <v>74</v>
      </c>
      <c r="K2" s="21">
        <v>0.21</v>
      </c>
      <c r="L2" s="21">
        <v>0.156</v>
      </c>
      <c r="M2" s="21">
        <v>0.17</v>
      </c>
      <c r="N2" s="21">
        <v>0.184</v>
      </c>
      <c r="O2" s="21">
        <v>0.17599999999999999</v>
      </c>
      <c r="Q2">
        <v>3.1</v>
      </c>
      <c r="R2" t="s">
        <v>74</v>
      </c>
      <c r="S2" s="21">
        <v>0.222</v>
      </c>
      <c r="T2" s="21">
        <v>0.182</v>
      </c>
      <c r="U2" s="21">
        <v>0.252</v>
      </c>
      <c r="V2" s="21">
        <v>0.20100000000000001</v>
      </c>
      <c r="W2">
        <v>0.254</v>
      </c>
    </row>
    <row r="3" spans="1:23" x14ac:dyDescent="0.25">
      <c r="A3">
        <v>1.2</v>
      </c>
      <c r="B3" t="s">
        <v>74</v>
      </c>
      <c r="C3" s="21">
        <v>0.252</v>
      </c>
      <c r="D3" s="21">
        <v>0.23200000000000001</v>
      </c>
      <c r="E3" s="21">
        <v>0.27600000000000002</v>
      </c>
      <c r="F3" s="21">
        <v>0.224</v>
      </c>
      <c r="G3">
        <v>0.24299999999999999</v>
      </c>
      <c r="I3" s="21">
        <v>2.2000000000000002</v>
      </c>
      <c r="J3" t="s">
        <v>74</v>
      </c>
      <c r="K3" s="21">
        <v>0.20399999999999999</v>
      </c>
      <c r="L3" s="21">
        <v>0.16300000000000001</v>
      </c>
      <c r="M3" s="21">
        <v>0.16700000000000001</v>
      </c>
      <c r="N3" s="21">
        <v>0.192</v>
      </c>
      <c r="O3" s="21">
        <v>0.17699999999999999</v>
      </c>
      <c r="Q3" s="21">
        <v>3.2</v>
      </c>
      <c r="R3" t="s">
        <v>74</v>
      </c>
      <c r="S3" s="21">
        <v>0.219</v>
      </c>
      <c r="T3" s="21">
        <v>0.187</v>
      </c>
      <c r="U3" s="21">
        <v>0.249</v>
      </c>
      <c r="V3" s="21">
        <v>0.19700000000000001</v>
      </c>
      <c r="W3">
        <v>0.24299999999999999</v>
      </c>
    </row>
    <row r="4" spans="1:23" x14ac:dyDescent="0.25">
      <c r="A4">
        <v>1.3</v>
      </c>
      <c r="B4" t="s">
        <v>74</v>
      </c>
      <c r="C4" s="21">
        <v>0.23699999999999999</v>
      </c>
      <c r="D4" s="21">
        <v>0.23200000000000001</v>
      </c>
      <c r="E4" s="21">
        <v>0.27700000000000002</v>
      </c>
      <c r="F4" s="21">
        <v>0.22800000000000001</v>
      </c>
      <c r="G4">
        <v>0.24</v>
      </c>
      <c r="I4">
        <v>2.2999999999999998</v>
      </c>
      <c r="J4" t="s">
        <v>74</v>
      </c>
      <c r="K4" s="21">
        <v>0.20100000000000001</v>
      </c>
      <c r="L4" s="21">
        <v>0.158</v>
      </c>
      <c r="M4" s="21">
        <v>0.17100000000000001</v>
      </c>
      <c r="N4" s="21">
        <v>0.191</v>
      </c>
      <c r="O4" s="21">
        <v>0.187</v>
      </c>
      <c r="Q4" s="21">
        <v>3.3</v>
      </c>
      <c r="R4" t="s">
        <v>74</v>
      </c>
      <c r="S4" s="21">
        <v>0.216</v>
      </c>
      <c r="T4" s="21">
        <v>0.184</v>
      </c>
      <c r="U4" s="21">
        <v>0.246</v>
      </c>
      <c r="V4" s="21">
        <v>0.20300000000000001</v>
      </c>
      <c r="W4">
        <v>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9AE6-9243-4614-B2B1-BDBA2EB61FE7}">
  <dimension ref="A1:W4"/>
  <sheetViews>
    <sheetView workbookViewId="0">
      <selection activeCell="H1" sqref="H1:T1"/>
    </sheetView>
  </sheetViews>
  <sheetFormatPr defaultRowHeight="15" x14ac:dyDescent="0.25"/>
  <cols>
    <col min="2" max="2" width="12.28515625" customWidth="1"/>
    <col min="10" max="10" width="14" customWidth="1"/>
    <col min="18" max="18" width="12.28515625" customWidth="1"/>
  </cols>
  <sheetData>
    <row r="1" spans="1:23" x14ac:dyDescent="0.25">
      <c r="A1" s="15" t="s">
        <v>62</v>
      </c>
      <c r="B1" s="15"/>
      <c r="C1" s="16" t="s">
        <v>24</v>
      </c>
      <c r="D1" s="16" t="s">
        <v>63</v>
      </c>
      <c r="E1" s="16" t="s">
        <v>64</v>
      </c>
      <c r="F1" s="16" t="s">
        <v>65</v>
      </c>
      <c r="G1" s="16" t="s">
        <v>66</v>
      </c>
      <c r="I1" s="15" t="s">
        <v>67</v>
      </c>
      <c r="J1" s="15"/>
      <c r="K1" s="16" t="s">
        <v>24</v>
      </c>
      <c r="L1" s="16" t="s">
        <v>63</v>
      </c>
      <c r="M1" s="16" t="s">
        <v>64</v>
      </c>
      <c r="N1" s="16" t="s">
        <v>65</v>
      </c>
      <c r="O1" s="16" t="s">
        <v>66</v>
      </c>
      <c r="Q1" s="15" t="s">
        <v>68</v>
      </c>
      <c r="R1" s="15"/>
      <c r="S1" s="16" t="s">
        <v>24</v>
      </c>
      <c r="T1" s="16" t="s">
        <v>63</v>
      </c>
      <c r="U1" s="16" t="s">
        <v>64</v>
      </c>
      <c r="V1" s="16" t="s">
        <v>65</v>
      </c>
      <c r="W1" s="16" t="s">
        <v>66</v>
      </c>
    </row>
    <row r="2" spans="1:23" x14ac:dyDescent="0.25">
      <c r="A2">
        <v>1.1000000000000001</v>
      </c>
      <c r="B2" t="s">
        <v>75</v>
      </c>
      <c r="C2">
        <v>3.16</v>
      </c>
      <c r="D2">
        <v>3.13</v>
      </c>
      <c r="E2">
        <v>3.71</v>
      </c>
      <c r="F2" s="21">
        <v>2.87</v>
      </c>
      <c r="G2" s="21">
        <v>3.12</v>
      </c>
      <c r="I2" s="21">
        <v>2.1</v>
      </c>
      <c r="J2" t="s">
        <v>75</v>
      </c>
      <c r="K2" s="21">
        <v>3.05</v>
      </c>
      <c r="L2" s="21">
        <v>2.63</v>
      </c>
      <c r="M2" s="21">
        <v>2.63</v>
      </c>
      <c r="N2" s="21">
        <v>2.74</v>
      </c>
      <c r="O2" s="21">
        <v>2.81</v>
      </c>
      <c r="Q2">
        <v>3.1</v>
      </c>
      <c r="R2" t="s">
        <v>75</v>
      </c>
      <c r="S2" s="21">
        <v>2.91</v>
      </c>
      <c r="T2" s="21">
        <v>3</v>
      </c>
      <c r="U2" s="21">
        <v>3.55</v>
      </c>
      <c r="V2" s="21">
        <v>3.16</v>
      </c>
      <c r="W2">
        <v>2.42</v>
      </c>
    </row>
    <row r="3" spans="1:23" x14ac:dyDescent="0.25">
      <c r="A3">
        <v>1.2</v>
      </c>
      <c r="B3" t="s">
        <v>75</v>
      </c>
      <c r="C3">
        <v>2.72</v>
      </c>
      <c r="D3">
        <v>3.15</v>
      </c>
      <c r="E3">
        <v>3.34</v>
      </c>
      <c r="F3" s="21">
        <v>2.81</v>
      </c>
      <c r="G3" s="21">
        <v>3.17</v>
      </c>
      <c r="I3" s="21">
        <v>2.2000000000000002</v>
      </c>
      <c r="J3" t="s">
        <v>75</v>
      </c>
      <c r="K3" s="21">
        <v>2.9</v>
      </c>
      <c r="L3" s="21">
        <v>2.5</v>
      </c>
      <c r="M3" s="21">
        <v>2.63</v>
      </c>
      <c r="N3" s="21">
        <v>2.5499999999999998</v>
      </c>
      <c r="O3" s="21">
        <v>2.82</v>
      </c>
      <c r="Q3" s="21">
        <v>3.2</v>
      </c>
      <c r="R3" t="s">
        <v>75</v>
      </c>
      <c r="S3" s="21">
        <v>3.09</v>
      </c>
      <c r="T3" s="21">
        <v>2.84</v>
      </c>
      <c r="U3" s="21">
        <v>3.27</v>
      </c>
      <c r="V3" s="21">
        <v>3.11</v>
      </c>
      <c r="W3">
        <v>3.43</v>
      </c>
    </row>
    <row r="4" spans="1:23" x14ac:dyDescent="0.25">
      <c r="A4">
        <v>1.3</v>
      </c>
      <c r="B4" t="s">
        <v>75</v>
      </c>
      <c r="C4">
        <v>2.95</v>
      </c>
      <c r="D4">
        <v>3.04</v>
      </c>
      <c r="E4">
        <v>3.37</v>
      </c>
      <c r="F4" s="21">
        <v>2.83</v>
      </c>
      <c r="G4" s="21">
        <v>3.08</v>
      </c>
      <c r="I4">
        <v>2.2999999999999998</v>
      </c>
      <c r="J4" t="s">
        <v>75</v>
      </c>
      <c r="K4" s="21">
        <v>3</v>
      </c>
      <c r="L4" s="21">
        <v>2.5299999999999998</v>
      </c>
      <c r="M4" s="21">
        <v>2.68</v>
      </c>
      <c r="N4" s="21">
        <v>2.4500000000000002</v>
      </c>
      <c r="O4" s="21">
        <v>2.94</v>
      </c>
      <c r="Q4" s="21">
        <v>3.3</v>
      </c>
      <c r="R4" t="s">
        <v>75</v>
      </c>
      <c r="S4" s="21">
        <v>3.03</v>
      </c>
      <c r="T4" s="21">
        <v>3.06</v>
      </c>
      <c r="U4" s="21">
        <v>3.18</v>
      </c>
      <c r="V4" s="21">
        <v>3.11</v>
      </c>
      <c r="W4">
        <v>3.85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92E6-F26E-4259-95F2-7C5C55C05D92}">
  <dimension ref="A1:V4"/>
  <sheetViews>
    <sheetView workbookViewId="0">
      <selection activeCell="H1" sqref="H1:T1"/>
    </sheetView>
  </sheetViews>
  <sheetFormatPr defaultRowHeight="15" x14ac:dyDescent="0.25"/>
  <cols>
    <col min="1" max="1" width="15.140625" customWidth="1"/>
    <col min="8" max="8" width="11.28515625" customWidth="1"/>
    <col min="15" max="15" width="12.28515625" customWidth="1"/>
  </cols>
  <sheetData>
    <row r="1" spans="1:22" x14ac:dyDescent="0.25">
      <c r="A1" s="15" t="s">
        <v>62</v>
      </c>
      <c r="B1" s="16" t="s">
        <v>24</v>
      </c>
      <c r="C1" s="16" t="s">
        <v>63</v>
      </c>
      <c r="D1" s="16" t="s">
        <v>64</v>
      </c>
      <c r="E1" s="16" t="s">
        <v>65</v>
      </c>
      <c r="F1" s="16" t="s">
        <v>66</v>
      </c>
      <c r="H1" s="15" t="s">
        <v>67</v>
      </c>
      <c r="I1" s="16" t="s">
        <v>24</v>
      </c>
      <c r="J1" s="16" t="s">
        <v>63</v>
      </c>
      <c r="K1" s="16" t="s">
        <v>64</v>
      </c>
      <c r="L1" s="16" t="s">
        <v>65</v>
      </c>
      <c r="M1" s="16" t="s">
        <v>66</v>
      </c>
      <c r="O1" s="15" t="s">
        <v>68</v>
      </c>
      <c r="P1" s="16" t="s">
        <v>24</v>
      </c>
      <c r="Q1" s="16" t="s">
        <v>63</v>
      </c>
      <c r="R1" s="16" t="s">
        <v>64</v>
      </c>
      <c r="S1" s="16" t="s">
        <v>65</v>
      </c>
      <c r="T1" s="16" t="s">
        <v>66</v>
      </c>
      <c r="V1" s="15"/>
    </row>
    <row r="2" spans="1:22" x14ac:dyDescent="0.25">
      <c r="A2" t="s">
        <v>76</v>
      </c>
      <c r="B2">
        <v>14.6</v>
      </c>
      <c r="C2">
        <v>13.7</v>
      </c>
      <c r="D2">
        <v>14.7</v>
      </c>
      <c r="E2">
        <v>14.5</v>
      </c>
      <c r="F2">
        <v>13.7</v>
      </c>
      <c r="H2" t="s">
        <v>76</v>
      </c>
      <c r="I2">
        <v>14.7</v>
      </c>
      <c r="J2">
        <v>13.9</v>
      </c>
      <c r="K2">
        <v>14.6</v>
      </c>
      <c r="L2">
        <v>14.5</v>
      </c>
      <c r="M2">
        <v>13.8</v>
      </c>
      <c r="O2" t="s">
        <v>76</v>
      </c>
      <c r="P2">
        <v>15</v>
      </c>
      <c r="Q2">
        <v>13.3</v>
      </c>
      <c r="R2">
        <v>14.3</v>
      </c>
      <c r="S2">
        <v>14.2</v>
      </c>
      <c r="T2">
        <v>13.42</v>
      </c>
    </row>
    <row r="3" spans="1:22" x14ac:dyDescent="0.25">
      <c r="A3" t="s">
        <v>77</v>
      </c>
      <c r="B3">
        <v>36</v>
      </c>
      <c r="C3">
        <v>35.799999999999997</v>
      </c>
      <c r="D3">
        <v>37.5</v>
      </c>
      <c r="E3">
        <v>36.200000000000003</v>
      </c>
      <c r="F3">
        <v>34.1</v>
      </c>
      <c r="H3" t="s">
        <v>77</v>
      </c>
      <c r="I3">
        <v>36.200000000000003</v>
      </c>
      <c r="J3">
        <v>36.799999999999997</v>
      </c>
      <c r="K3">
        <v>35.299999999999997</v>
      </c>
      <c r="L3">
        <v>37.1</v>
      </c>
      <c r="M3">
        <v>34.4</v>
      </c>
      <c r="O3" t="s">
        <v>77</v>
      </c>
      <c r="P3">
        <v>35.200000000000003</v>
      </c>
      <c r="Q3">
        <v>35.6</v>
      </c>
      <c r="R3">
        <v>35.4</v>
      </c>
      <c r="S3">
        <v>37.1</v>
      </c>
      <c r="T3">
        <v>34.299999999999997</v>
      </c>
    </row>
    <row r="4" spans="1:22" x14ac:dyDescent="0.25">
      <c r="A4" t="s">
        <v>78</v>
      </c>
      <c r="B4">
        <v>56</v>
      </c>
      <c r="C4">
        <v>56.2</v>
      </c>
      <c r="D4">
        <v>54.5</v>
      </c>
      <c r="E4">
        <v>57.1</v>
      </c>
      <c r="F4">
        <v>51.1</v>
      </c>
      <c r="H4" t="s">
        <v>78</v>
      </c>
      <c r="I4">
        <v>53.8</v>
      </c>
      <c r="J4">
        <v>54</v>
      </c>
      <c r="K4">
        <v>56.1</v>
      </c>
      <c r="L4">
        <v>54.9</v>
      </c>
      <c r="M4">
        <v>51.4</v>
      </c>
      <c r="O4" t="s">
        <v>78</v>
      </c>
      <c r="P4">
        <v>54.1</v>
      </c>
      <c r="Q4">
        <v>57.5</v>
      </c>
      <c r="R4">
        <v>57</v>
      </c>
      <c r="S4">
        <v>56.3</v>
      </c>
      <c r="T4">
        <v>48.5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43B7-F840-4F1D-A2D2-9CF27526B276}">
  <dimension ref="A1:V12"/>
  <sheetViews>
    <sheetView workbookViewId="0">
      <selection activeCell="H1" sqref="H1:T1"/>
    </sheetView>
  </sheetViews>
  <sheetFormatPr defaultRowHeight="15" x14ac:dyDescent="0.25"/>
  <cols>
    <col min="1" max="1" width="28.5703125" customWidth="1"/>
    <col min="8" max="8" width="29.5703125" customWidth="1"/>
    <col min="15" max="15" width="28.85546875" customWidth="1"/>
  </cols>
  <sheetData>
    <row r="1" spans="1:22" x14ac:dyDescent="0.25">
      <c r="A1" s="15" t="s">
        <v>62</v>
      </c>
      <c r="H1" s="15" t="s">
        <v>67</v>
      </c>
      <c r="O1" s="15" t="s">
        <v>68</v>
      </c>
    </row>
    <row r="2" spans="1:22" x14ac:dyDescent="0.25">
      <c r="A2" s="15" t="s">
        <v>47</v>
      </c>
      <c r="B2" s="16" t="s">
        <v>24</v>
      </c>
      <c r="C2" s="16" t="s">
        <v>63</v>
      </c>
      <c r="D2" s="16" t="s">
        <v>64</v>
      </c>
      <c r="E2" s="16" t="s">
        <v>65</v>
      </c>
      <c r="F2" s="16" t="s">
        <v>66</v>
      </c>
      <c r="H2" s="15" t="s">
        <v>47</v>
      </c>
      <c r="I2" s="16" t="s">
        <v>24</v>
      </c>
      <c r="J2" s="16" t="s">
        <v>63</v>
      </c>
      <c r="K2" s="16" t="s">
        <v>64</v>
      </c>
      <c r="L2" s="16" t="s">
        <v>65</v>
      </c>
      <c r="M2" s="16" t="s">
        <v>66</v>
      </c>
      <c r="O2" s="15" t="s">
        <v>47</v>
      </c>
      <c r="P2" s="16" t="s">
        <v>24</v>
      </c>
      <c r="Q2" s="16" t="s">
        <v>63</v>
      </c>
      <c r="R2" s="16" t="s">
        <v>64</v>
      </c>
      <c r="S2" s="16" t="s">
        <v>65</v>
      </c>
      <c r="T2" s="16" t="s">
        <v>66</v>
      </c>
      <c r="V2" s="15"/>
    </row>
    <row r="3" spans="1:22" x14ac:dyDescent="0.25">
      <c r="A3">
        <v>1.1000000000000001</v>
      </c>
      <c r="B3">
        <v>272.44263302305001</v>
      </c>
      <c r="C3">
        <v>287.33616889774999</v>
      </c>
      <c r="D3">
        <v>243.5567433754</v>
      </c>
      <c r="E3">
        <v>185.17088146374999</v>
      </c>
      <c r="F3">
        <v>311.91819444660001</v>
      </c>
      <c r="H3">
        <v>2.1</v>
      </c>
      <c r="I3">
        <v>269.95634324190002</v>
      </c>
      <c r="J3">
        <v>376.53051418955005</v>
      </c>
      <c r="K3">
        <v>246.86582089820001</v>
      </c>
      <c r="L3">
        <v>289.68723478204998</v>
      </c>
      <c r="M3">
        <v>421.91682796095</v>
      </c>
      <c r="O3">
        <v>3.1</v>
      </c>
      <c r="P3">
        <v>299.08710494004998</v>
      </c>
      <c r="Q3">
        <v>243.24931470454999</v>
      </c>
      <c r="R3">
        <v>163.63478179160001</v>
      </c>
      <c r="S3">
        <v>243.4624818556</v>
      </c>
      <c r="T3">
        <v>387.20234607915</v>
      </c>
    </row>
    <row r="4" spans="1:22" x14ac:dyDescent="0.25">
      <c r="A4">
        <v>1.2</v>
      </c>
      <c r="B4">
        <v>212.15919414305</v>
      </c>
      <c r="C4">
        <v>293.63153805859997</v>
      </c>
      <c r="D4">
        <v>271.80111140000002</v>
      </c>
      <c r="E4">
        <v>243.72525104235001</v>
      </c>
      <c r="F4">
        <v>305.24997645274999</v>
      </c>
      <c r="H4">
        <v>2.2000000000000002</v>
      </c>
      <c r="I4">
        <v>305.54627457585002</v>
      </c>
      <c r="J4">
        <v>273.79956937690002</v>
      </c>
      <c r="K4">
        <v>273.72284214730001</v>
      </c>
      <c r="L4">
        <v>280.03915831255</v>
      </c>
      <c r="M4">
        <v>287.97649410949998</v>
      </c>
      <c r="O4">
        <v>3.2</v>
      </c>
      <c r="P4">
        <v>491.03226331740001</v>
      </c>
      <c r="Q4">
        <v>249.03782716015002</v>
      </c>
      <c r="R4">
        <v>259.58213337314999</v>
      </c>
      <c r="S4">
        <v>290.24060442824998</v>
      </c>
      <c r="T4">
        <v>450.95736847910001</v>
      </c>
    </row>
    <row r="5" spans="1:22" x14ac:dyDescent="0.25">
      <c r="A5">
        <v>1.3</v>
      </c>
      <c r="B5">
        <v>213.37339470614998</v>
      </c>
      <c r="C5">
        <v>230.94284174640001</v>
      </c>
      <c r="D5">
        <v>255.85903870065002</v>
      </c>
      <c r="E5">
        <v>166.35023336995002</v>
      </c>
      <c r="F5">
        <v>395.82032222600003</v>
      </c>
      <c r="H5">
        <v>2.2999999999999998</v>
      </c>
      <c r="I5">
        <v>229.59160305620003</v>
      </c>
      <c r="J5">
        <v>374.42428112914996</v>
      </c>
      <c r="K5">
        <v>302.36305559915002</v>
      </c>
      <c r="L5">
        <v>320.22380917765003</v>
      </c>
      <c r="M5">
        <v>350.36991219020001</v>
      </c>
      <c r="O5">
        <v>3.3</v>
      </c>
      <c r="P5">
        <v>225.12237922510002</v>
      </c>
      <c r="Q5">
        <v>137.1345656961</v>
      </c>
      <c r="R5">
        <v>345.65782667184999</v>
      </c>
      <c r="S5">
        <v>272.63342139880001</v>
      </c>
      <c r="T5">
        <v>461.97169761994996</v>
      </c>
    </row>
    <row r="6" spans="1:22" x14ac:dyDescent="0.25">
      <c r="A6">
        <v>1.4</v>
      </c>
      <c r="B6">
        <v>331.71139744084996</v>
      </c>
      <c r="C6">
        <v>360.30796149355001</v>
      </c>
      <c r="D6">
        <v>284.91316142905004</v>
      </c>
      <c r="E6">
        <v>163.16688690679999</v>
      </c>
      <c r="F6">
        <v>374.51792482999997</v>
      </c>
      <c r="H6">
        <v>2.4</v>
      </c>
      <c r="I6">
        <v>281.64328108630002</v>
      </c>
      <c r="J6">
        <v>319.98853783750002</v>
      </c>
      <c r="K6">
        <v>251.73439113059999</v>
      </c>
      <c r="L6">
        <v>250.04117494159999</v>
      </c>
      <c r="M6">
        <v>299.72304657924997</v>
      </c>
      <c r="O6">
        <v>3.4</v>
      </c>
      <c r="P6">
        <v>271.93786513424999</v>
      </c>
      <c r="Q6">
        <v>302.30519636414999</v>
      </c>
      <c r="R6">
        <v>286.42930874565002</v>
      </c>
      <c r="S6">
        <v>314.31304702314998</v>
      </c>
      <c r="T6">
        <v>466.13782731950005</v>
      </c>
    </row>
    <row r="7" spans="1:22" x14ac:dyDescent="0.25">
      <c r="A7">
        <v>1.5</v>
      </c>
      <c r="B7">
        <v>276.0593745763</v>
      </c>
      <c r="C7">
        <v>325.05122089999998</v>
      </c>
      <c r="D7">
        <v>252.84793623809998</v>
      </c>
      <c r="E7">
        <v>269.42512681804999</v>
      </c>
      <c r="F7">
        <v>354.67599259190001</v>
      </c>
      <c r="H7">
        <v>2.5</v>
      </c>
      <c r="I7">
        <v>276.62855254229999</v>
      </c>
      <c r="J7">
        <v>357.64454400009998</v>
      </c>
      <c r="K7">
        <v>325.23550746680002</v>
      </c>
      <c r="L7">
        <v>297.61126295495001</v>
      </c>
      <c r="M7">
        <v>325.41988229345003</v>
      </c>
      <c r="O7">
        <v>3.5</v>
      </c>
      <c r="P7">
        <v>310.18425124015005</v>
      </c>
      <c r="Q7">
        <v>311.93215911620001</v>
      </c>
      <c r="R7">
        <v>346.79783992770001</v>
      </c>
      <c r="S7">
        <v>298.4743756414</v>
      </c>
      <c r="T7">
        <v>485.98450597619996</v>
      </c>
    </row>
    <row r="8" spans="1:22" x14ac:dyDescent="0.25">
      <c r="A8">
        <v>1.6</v>
      </c>
      <c r="B8">
        <v>286.69123456049999</v>
      </c>
      <c r="C8">
        <v>343.54013944425003</v>
      </c>
      <c r="D8">
        <v>289.12063596499996</v>
      </c>
      <c r="E8">
        <v>186.07107309385</v>
      </c>
      <c r="F8">
        <v>297.74720273725001</v>
      </c>
      <c r="H8">
        <v>2.6</v>
      </c>
      <c r="I8">
        <v>306.98932312335</v>
      </c>
      <c r="J8">
        <v>353.91606547674996</v>
      </c>
      <c r="K8">
        <v>279.00391930530003</v>
      </c>
      <c r="L8">
        <v>234.75489254105</v>
      </c>
      <c r="M8">
        <v>333.10511853884998</v>
      </c>
      <c r="O8">
        <v>3.6</v>
      </c>
      <c r="P8">
        <v>231.29975477315</v>
      </c>
      <c r="Q8">
        <v>214.61389670454997</v>
      </c>
      <c r="R8">
        <v>332.19056997314999</v>
      </c>
      <c r="S8">
        <v>275.48547961165002</v>
      </c>
      <c r="T8">
        <v>376.00027843070001</v>
      </c>
    </row>
    <row r="9" spans="1:22" x14ac:dyDescent="0.25">
      <c r="A9">
        <v>1.7</v>
      </c>
      <c r="B9">
        <v>292.60502696984997</v>
      </c>
      <c r="C9">
        <v>406.81974525885005</v>
      </c>
      <c r="D9">
        <v>280.62360523260003</v>
      </c>
      <c r="E9">
        <v>195.83142589919998</v>
      </c>
      <c r="F9">
        <v>374.49452616309998</v>
      </c>
      <c r="H9">
        <v>2.7</v>
      </c>
      <c r="I9">
        <v>278.2287232361</v>
      </c>
      <c r="J9">
        <v>307.3748323415</v>
      </c>
      <c r="K9">
        <v>265.89591942269999</v>
      </c>
      <c r="L9">
        <v>275.96877093695002</v>
      </c>
      <c r="M9">
        <v>327.08892509020001</v>
      </c>
      <c r="O9">
        <v>3.7</v>
      </c>
      <c r="P9">
        <v>257.5491854082</v>
      </c>
      <c r="Q9">
        <v>330.37597687710002</v>
      </c>
      <c r="R9">
        <v>286.46071944560003</v>
      </c>
      <c r="S9">
        <v>211.77402815764998</v>
      </c>
      <c r="T9">
        <v>424.13437630549998</v>
      </c>
    </row>
    <row r="10" spans="1:22" x14ac:dyDescent="0.25">
      <c r="A10">
        <v>1.8</v>
      </c>
      <c r="B10">
        <v>259.93799708835002</v>
      </c>
      <c r="C10">
        <v>218.1937064139</v>
      </c>
      <c r="D10">
        <v>280.61278849765</v>
      </c>
      <c r="E10">
        <v>230.05660497924998</v>
      </c>
      <c r="F10">
        <v>398.97221876259999</v>
      </c>
      <c r="H10">
        <v>2.8</v>
      </c>
      <c r="I10">
        <v>264.51715346595</v>
      </c>
      <c r="J10">
        <v>310.01065392185001</v>
      </c>
      <c r="K10">
        <v>236.461082928</v>
      </c>
      <c r="L10">
        <v>210.2559881576</v>
      </c>
      <c r="M10">
        <v>342.79083293104998</v>
      </c>
      <c r="O10">
        <v>3.8</v>
      </c>
      <c r="P10">
        <v>458.9573981895</v>
      </c>
      <c r="Q10">
        <v>343.26294467534996</v>
      </c>
      <c r="R10">
        <v>259.3364865973</v>
      </c>
      <c r="S10">
        <v>287.40453105490002</v>
      </c>
      <c r="T10">
        <v>331.58644110655001</v>
      </c>
    </row>
    <row r="11" spans="1:22" x14ac:dyDescent="0.25">
      <c r="A11">
        <v>1.9</v>
      </c>
      <c r="B11">
        <v>212.91767968065002</v>
      </c>
      <c r="C11">
        <v>361.60286097950001</v>
      </c>
      <c r="D11">
        <v>309.84449985090004</v>
      </c>
      <c r="E11">
        <v>263.24179863345</v>
      </c>
      <c r="F11">
        <v>320.88280625099998</v>
      </c>
      <c r="H11">
        <v>2.9</v>
      </c>
      <c r="I11">
        <v>283.62290048854999</v>
      </c>
      <c r="J11">
        <v>318.11261395234999</v>
      </c>
      <c r="K11">
        <v>243.84621607010001</v>
      </c>
      <c r="L11">
        <v>300.87492588160001</v>
      </c>
      <c r="M11">
        <v>349.05603683649997</v>
      </c>
      <c r="O11">
        <v>3.9</v>
      </c>
      <c r="P11">
        <v>276.96002711894999</v>
      </c>
      <c r="Q11">
        <v>238.28913074785001</v>
      </c>
      <c r="R11">
        <v>266.36814884680001</v>
      </c>
      <c r="S11">
        <v>340.39788284460002</v>
      </c>
      <c r="T11">
        <v>386.00265935805004</v>
      </c>
    </row>
    <row r="12" spans="1:22" x14ac:dyDescent="0.25">
      <c r="A12" s="22">
        <v>1.1000000000000001</v>
      </c>
      <c r="B12">
        <v>235.44154436740001</v>
      </c>
      <c r="C12">
        <v>286.09368595605002</v>
      </c>
      <c r="D12">
        <v>236.58487227095</v>
      </c>
      <c r="E12">
        <v>226.81741945099998</v>
      </c>
      <c r="F12">
        <v>294.02592229499999</v>
      </c>
      <c r="H12" s="22">
        <v>2.1</v>
      </c>
      <c r="I12">
        <v>265.25709462840001</v>
      </c>
      <c r="J12">
        <v>278.97545060035003</v>
      </c>
      <c r="K12">
        <v>298.34771295000002</v>
      </c>
      <c r="L12">
        <v>317.49388298389999</v>
      </c>
      <c r="M12">
        <v>339.75725362669999</v>
      </c>
      <c r="O12" s="22">
        <v>3.1</v>
      </c>
      <c r="P12">
        <v>148.30607582315</v>
      </c>
      <c r="Q12">
        <v>305.3767666306</v>
      </c>
      <c r="R12">
        <v>250.38752620629998</v>
      </c>
      <c r="S12">
        <v>334.00199552124997</v>
      </c>
      <c r="T12">
        <v>434.12396936124998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87E5-B3E0-4AD4-B69F-CE31A1923898}">
  <dimension ref="A1:V12"/>
  <sheetViews>
    <sheetView workbookViewId="0">
      <selection activeCell="H1" sqref="H1:T1"/>
    </sheetView>
  </sheetViews>
  <sheetFormatPr defaultRowHeight="15" x14ac:dyDescent="0.25"/>
  <cols>
    <col min="1" max="1" width="28.5703125" customWidth="1"/>
    <col min="8" max="8" width="29.5703125" customWidth="1"/>
    <col min="15" max="15" width="28.85546875" customWidth="1"/>
  </cols>
  <sheetData>
    <row r="1" spans="1:22" x14ac:dyDescent="0.25">
      <c r="A1" s="15" t="s">
        <v>62</v>
      </c>
      <c r="H1" s="15" t="s">
        <v>67</v>
      </c>
      <c r="O1" s="15" t="s">
        <v>68</v>
      </c>
    </row>
    <row r="2" spans="1:22" x14ac:dyDescent="0.25">
      <c r="A2" s="15" t="s">
        <v>48</v>
      </c>
      <c r="B2" s="16" t="s">
        <v>24</v>
      </c>
      <c r="C2" s="16" t="s">
        <v>63</v>
      </c>
      <c r="D2" s="16" t="s">
        <v>64</v>
      </c>
      <c r="E2" s="16" t="s">
        <v>65</v>
      </c>
      <c r="F2" s="16" t="s">
        <v>66</v>
      </c>
      <c r="H2" s="15" t="s">
        <v>48</v>
      </c>
      <c r="I2" s="16" t="s">
        <v>24</v>
      </c>
      <c r="J2" s="16" t="s">
        <v>63</v>
      </c>
      <c r="K2" s="16" t="s">
        <v>64</v>
      </c>
      <c r="L2" s="16" t="s">
        <v>65</v>
      </c>
      <c r="M2" s="16" t="s">
        <v>66</v>
      </c>
      <c r="O2" s="15" t="s">
        <v>48</v>
      </c>
      <c r="P2" s="16" t="s">
        <v>24</v>
      </c>
      <c r="Q2" s="16" t="s">
        <v>63</v>
      </c>
      <c r="R2" s="16" t="s">
        <v>64</v>
      </c>
      <c r="S2" s="16" t="s">
        <v>65</v>
      </c>
      <c r="T2" s="16" t="s">
        <v>66</v>
      </c>
      <c r="V2" s="15"/>
    </row>
    <row r="3" spans="1:22" x14ac:dyDescent="0.25">
      <c r="A3">
        <v>1.1000000000000001</v>
      </c>
      <c r="B3" s="22">
        <v>77</v>
      </c>
      <c r="C3" s="22">
        <v>79</v>
      </c>
      <c r="D3" s="22">
        <v>70</v>
      </c>
      <c r="E3" s="22">
        <v>95</v>
      </c>
      <c r="F3" s="22">
        <v>62</v>
      </c>
      <c r="H3">
        <v>2.1</v>
      </c>
      <c r="I3" s="22">
        <v>102</v>
      </c>
      <c r="J3" s="22">
        <v>72</v>
      </c>
      <c r="K3" s="22">
        <v>79</v>
      </c>
      <c r="L3" s="22">
        <v>96</v>
      </c>
      <c r="M3" s="22">
        <v>51</v>
      </c>
      <c r="O3">
        <v>3.1</v>
      </c>
      <c r="P3" s="22">
        <v>99</v>
      </c>
      <c r="Q3" s="22">
        <v>82</v>
      </c>
      <c r="R3" s="22">
        <v>103</v>
      </c>
      <c r="S3" s="22">
        <v>86</v>
      </c>
      <c r="T3" s="22">
        <v>77</v>
      </c>
    </row>
    <row r="4" spans="1:22" x14ac:dyDescent="0.25">
      <c r="A4">
        <v>1.2</v>
      </c>
      <c r="B4" s="22">
        <v>63</v>
      </c>
      <c r="C4" s="22">
        <v>99</v>
      </c>
      <c r="D4" s="22">
        <v>92</v>
      </c>
      <c r="E4" s="22">
        <v>85</v>
      </c>
      <c r="F4" s="22">
        <v>86</v>
      </c>
      <c r="H4">
        <v>2.2000000000000002</v>
      </c>
      <c r="I4" s="22">
        <v>121</v>
      </c>
      <c r="J4" s="22">
        <v>73</v>
      </c>
      <c r="K4" s="22">
        <v>93</v>
      </c>
      <c r="L4" s="22">
        <v>97</v>
      </c>
      <c r="M4" s="22">
        <v>48</v>
      </c>
      <c r="O4">
        <v>3.2</v>
      </c>
      <c r="P4" s="22">
        <v>97</v>
      </c>
      <c r="Q4" s="22">
        <v>77</v>
      </c>
      <c r="R4" s="22">
        <v>99</v>
      </c>
      <c r="S4" s="22">
        <v>87</v>
      </c>
      <c r="T4" s="22">
        <v>69</v>
      </c>
    </row>
    <row r="5" spans="1:22" x14ac:dyDescent="0.25">
      <c r="A5">
        <v>1.3</v>
      </c>
      <c r="B5" s="22">
        <v>111</v>
      </c>
      <c r="C5" s="22">
        <v>81</v>
      </c>
      <c r="D5" s="22">
        <v>77</v>
      </c>
      <c r="E5" s="22">
        <v>86</v>
      </c>
      <c r="F5" s="22">
        <v>70</v>
      </c>
      <c r="H5">
        <v>2.2999999999999998</v>
      </c>
      <c r="I5" s="22">
        <v>99</v>
      </c>
      <c r="J5" s="22">
        <v>96</v>
      </c>
      <c r="K5" s="22">
        <v>103</v>
      </c>
      <c r="L5" s="22">
        <v>117</v>
      </c>
      <c r="M5" s="22">
        <v>44</v>
      </c>
      <c r="O5">
        <v>3.3</v>
      </c>
      <c r="P5" s="22">
        <v>106</v>
      </c>
      <c r="Q5" s="22">
        <v>65</v>
      </c>
      <c r="R5" s="22">
        <v>87</v>
      </c>
      <c r="S5" s="22">
        <v>80</v>
      </c>
      <c r="T5" s="22">
        <v>63</v>
      </c>
    </row>
    <row r="6" spans="1:22" x14ac:dyDescent="0.25">
      <c r="A6">
        <v>1.4</v>
      </c>
      <c r="B6" s="22">
        <v>82</v>
      </c>
      <c r="C6" s="22">
        <v>80</v>
      </c>
      <c r="D6" s="22">
        <v>78</v>
      </c>
      <c r="E6" s="22">
        <v>92</v>
      </c>
      <c r="F6" s="22">
        <v>84</v>
      </c>
      <c r="H6">
        <v>2.4</v>
      </c>
      <c r="I6" s="22">
        <v>76</v>
      </c>
      <c r="J6" s="22">
        <v>67</v>
      </c>
      <c r="K6" s="22">
        <v>83</v>
      </c>
      <c r="L6" s="22">
        <v>116</v>
      </c>
      <c r="M6" s="22">
        <v>52</v>
      </c>
      <c r="O6">
        <v>3.4</v>
      </c>
      <c r="P6" s="22">
        <v>88</v>
      </c>
      <c r="Q6" s="22">
        <v>79</v>
      </c>
      <c r="R6" s="22">
        <v>86</v>
      </c>
      <c r="S6" s="22">
        <v>97</v>
      </c>
      <c r="T6" s="22">
        <v>76</v>
      </c>
    </row>
    <row r="7" spans="1:22" x14ac:dyDescent="0.25">
      <c r="A7">
        <v>1.5</v>
      </c>
      <c r="B7" s="22">
        <v>82</v>
      </c>
      <c r="C7" s="22">
        <v>89</v>
      </c>
      <c r="D7" s="22">
        <v>102</v>
      </c>
      <c r="E7" s="22">
        <v>105</v>
      </c>
      <c r="F7" s="22">
        <v>73</v>
      </c>
      <c r="H7">
        <v>2.5</v>
      </c>
      <c r="I7" s="22">
        <v>87</v>
      </c>
      <c r="J7" s="22">
        <v>80</v>
      </c>
      <c r="K7" s="22">
        <v>93</v>
      </c>
      <c r="L7" s="22">
        <v>80</v>
      </c>
      <c r="M7" s="22">
        <v>54</v>
      </c>
      <c r="O7">
        <v>3.5</v>
      </c>
      <c r="P7" s="22">
        <v>84</v>
      </c>
      <c r="Q7" s="22">
        <v>80</v>
      </c>
      <c r="R7" s="22">
        <v>91</v>
      </c>
      <c r="S7" s="22">
        <v>90</v>
      </c>
      <c r="T7" s="22">
        <v>69</v>
      </c>
    </row>
    <row r="8" spans="1:22" x14ac:dyDescent="0.25">
      <c r="A8">
        <v>1.6</v>
      </c>
      <c r="B8" s="22">
        <v>117</v>
      </c>
      <c r="C8" s="22">
        <v>110</v>
      </c>
      <c r="D8" s="22">
        <v>116</v>
      </c>
      <c r="E8" s="22">
        <v>96</v>
      </c>
      <c r="F8" s="22">
        <v>77</v>
      </c>
      <c r="H8">
        <v>2.6</v>
      </c>
      <c r="I8" s="22">
        <v>85</v>
      </c>
      <c r="J8" s="22">
        <v>74</v>
      </c>
      <c r="K8" s="22">
        <v>84</v>
      </c>
      <c r="L8" s="22">
        <v>101</v>
      </c>
      <c r="M8" s="22">
        <v>68</v>
      </c>
      <c r="O8">
        <v>3.6</v>
      </c>
      <c r="P8" s="22">
        <v>112</v>
      </c>
      <c r="Q8" s="22">
        <v>89</v>
      </c>
      <c r="R8" s="22">
        <v>88</v>
      </c>
      <c r="S8" s="22">
        <v>90</v>
      </c>
      <c r="T8" s="22">
        <v>76</v>
      </c>
    </row>
    <row r="9" spans="1:22" x14ac:dyDescent="0.25">
      <c r="A9">
        <v>1.7</v>
      </c>
      <c r="B9" s="22">
        <v>90</v>
      </c>
      <c r="C9" s="22">
        <v>71</v>
      </c>
      <c r="D9" s="22">
        <v>87</v>
      </c>
      <c r="E9" s="22">
        <v>81</v>
      </c>
      <c r="F9" s="22">
        <v>66</v>
      </c>
      <c r="H9">
        <v>2.7</v>
      </c>
      <c r="I9" s="22">
        <v>79</v>
      </c>
      <c r="J9" s="22">
        <v>66</v>
      </c>
      <c r="K9" s="22">
        <v>88</v>
      </c>
      <c r="L9" s="22">
        <v>103</v>
      </c>
      <c r="M9" s="22">
        <v>58</v>
      </c>
      <c r="O9">
        <v>3.7</v>
      </c>
      <c r="P9" s="22">
        <v>97</v>
      </c>
      <c r="Q9" s="22">
        <v>85</v>
      </c>
      <c r="R9" s="22">
        <v>88</v>
      </c>
      <c r="S9" s="22">
        <v>93</v>
      </c>
      <c r="T9" s="22">
        <v>52</v>
      </c>
    </row>
    <row r="10" spans="1:22" x14ac:dyDescent="0.25">
      <c r="A10">
        <v>1.8</v>
      </c>
      <c r="B10" s="23">
        <v>74</v>
      </c>
      <c r="C10" s="22">
        <v>77</v>
      </c>
      <c r="D10" s="22">
        <v>66</v>
      </c>
      <c r="E10" s="22">
        <v>74</v>
      </c>
      <c r="F10" s="22">
        <v>72</v>
      </c>
      <c r="H10">
        <v>2.8</v>
      </c>
      <c r="I10" s="22">
        <v>97</v>
      </c>
      <c r="J10" s="22">
        <v>100</v>
      </c>
      <c r="K10" s="22">
        <v>73</v>
      </c>
      <c r="L10" s="22">
        <v>98</v>
      </c>
      <c r="M10" s="22">
        <v>58</v>
      </c>
      <c r="O10">
        <v>3.8</v>
      </c>
      <c r="P10" s="22">
        <v>88</v>
      </c>
      <c r="Q10" s="22">
        <v>83</v>
      </c>
      <c r="R10" s="22">
        <v>103</v>
      </c>
      <c r="S10" s="22">
        <v>103</v>
      </c>
      <c r="T10" s="22">
        <v>51</v>
      </c>
    </row>
    <row r="11" spans="1:22" x14ac:dyDescent="0.25">
      <c r="A11">
        <v>1.9</v>
      </c>
      <c r="B11" s="23">
        <v>79</v>
      </c>
      <c r="C11" s="22">
        <v>95</v>
      </c>
      <c r="D11" s="22">
        <v>83</v>
      </c>
      <c r="E11" s="22">
        <v>82</v>
      </c>
      <c r="F11" s="22">
        <v>75</v>
      </c>
      <c r="H11">
        <v>2.9</v>
      </c>
      <c r="I11" s="22">
        <v>94</v>
      </c>
      <c r="J11" s="22">
        <v>79</v>
      </c>
      <c r="K11" s="22">
        <v>76</v>
      </c>
      <c r="L11" s="22">
        <v>94</v>
      </c>
      <c r="M11" s="22">
        <v>49</v>
      </c>
      <c r="O11">
        <v>3.9</v>
      </c>
      <c r="P11" s="22">
        <v>80</v>
      </c>
      <c r="Q11" s="22">
        <v>78</v>
      </c>
      <c r="R11" s="22">
        <v>96</v>
      </c>
      <c r="S11" s="22">
        <v>88</v>
      </c>
      <c r="T11" s="22">
        <v>75</v>
      </c>
    </row>
    <row r="12" spans="1:22" x14ac:dyDescent="0.25">
      <c r="A12" s="22">
        <v>1.1000000000000001</v>
      </c>
      <c r="B12" s="23">
        <v>116</v>
      </c>
      <c r="C12" s="22">
        <v>88</v>
      </c>
      <c r="D12" s="22">
        <v>86</v>
      </c>
      <c r="E12" s="22">
        <v>83</v>
      </c>
      <c r="F12" s="22">
        <v>67</v>
      </c>
      <c r="H12" s="22">
        <v>2.1</v>
      </c>
      <c r="I12" s="22">
        <v>100</v>
      </c>
      <c r="J12" s="22">
        <v>79</v>
      </c>
      <c r="K12" s="22">
        <v>87</v>
      </c>
      <c r="L12" s="22">
        <v>98</v>
      </c>
      <c r="M12" s="22">
        <v>50</v>
      </c>
      <c r="O12" s="22">
        <v>3.1</v>
      </c>
      <c r="P12" s="22">
        <v>96</v>
      </c>
      <c r="Q12" s="22">
        <v>87</v>
      </c>
      <c r="R12" s="22">
        <v>86</v>
      </c>
      <c r="S12" s="22">
        <v>82</v>
      </c>
      <c r="T12" s="22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FDEF-4315-4222-A012-11176515AEBE}">
  <dimension ref="A1:T12"/>
  <sheetViews>
    <sheetView topLeftCell="D1" workbookViewId="0">
      <selection activeCell="H1" sqref="H1:T1"/>
    </sheetView>
  </sheetViews>
  <sheetFormatPr defaultRowHeight="15" x14ac:dyDescent="0.25"/>
  <cols>
    <col min="1" max="15" width="18.5703125" customWidth="1"/>
  </cols>
  <sheetData>
    <row r="1" spans="1:20" x14ac:dyDescent="0.25">
      <c r="A1" s="15" t="s">
        <v>62</v>
      </c>
      <c r="H1" s="15" t="s">
        <v>67</v>
      </c>
      <c r="O1" s="15" t="s">
        <v>68</v>
      </c>
    </row>
    <row r="2" spans="1:20" x14ac:dyDescent="0.25">
      <c r="A2" s="15" t="s">
        <v>79</v>
      </c>
      <c r="B2" s="16" t="s">
        <v>24</v>
      </c>
      <c r="C2" s="16" t="s">
        <v>63</v>
      </c>
      <c r="D2" s="16" t="s">
        <v>64</v>
      </c>
      <c r="E2" s="16" t="s">
        <v>65</v>
      </c>
      <c r="F2" s="16" t="s">
        <v>66</v>
      </c>
      <c r="H2" s="15" t="s">
        <v>47</v>
      </c>
      <c r="I2" s="16" t="s">
        <v>24</v>
      </c>
      <c r="J2" s="16" t="s">
        <v>63</v>
      </c>
      <c r="K2" s="16" t="s">
        <v>64</v>
      </c>
      <c r="L2" s="16" t="s">
        <v>65</v>
      </c>
      <c r="M2" s="16" t="s">
        <v>66</v>
      </c>
      <c r="O2" s="15" t="s">
        <v>47</v>
      </c>
      <c r="P2" s="16" t="s">
        <v>24</v>
      </c>
      <c r="Q2" s="16" t="s">
        <v>63</v>
      </c>
      <c r="R2" s="16" t="s">
        <v>64</v>
      </c>
      <c r="S2" s="16" t="s">
        <v>65</v>
      </c>
      <c r="T2" s="16" t="s">
        <v>66</v>
      </c>
    </row>
    <row r="3" spans="1:20" x14ac:dyDescent="0.25">
      <c r="A3">
        <v>1.1000000000000001</v>
      </c>
      <c r="B3" s="22">
        <v>56.670767086500007</v>
      </c>
      <c r="C3">
        <v>54.663247765000001</v>
      </c>
      <c r="D3">
        <v>63.681345038499998</v>
      </c>
      <c r="E3">
        <v>53.665224994500001</v>
      </c>
      <c r="F3">
        <v>29.104960402</v>
      </c>
      <c r="H3">
        <v>2.1</v>
      </c>
      <c r="I3">
        <v>48.417686579499993</v>
      </c>
      <c r="J3">
        <v>33.523738825499997</v>
      </c>
      <c r="K3">
        <v>34.777519028</v>
      </c>
      <c r="L3">
        <v>60.299423719499998</v>
      </c>
      <c r="M3">
        <v>44.547786356499998</v>
      </c>
      <c r="O3">
        <v>3.1</v>
      </c>
      <c r="P3">
        <v>86.335393003999997</v>
      </c>
      <c r="Q3">
        <v>44.613098645500003</v>
      </c>
      <c r="R3">
        <v>25.385690322999999</v>
      </c>
      <c r="S3">
        <v>30.927820504000003</v>
      </c>
      <c r="T3">
        <v>49.945954915499996</v>
      </c>
    </row>
    <row r="4" spans="1:20" x14ac:dyDescent="0.25">
      <c r="A4">
        <v>1.2</v>
      </c>
      <c r="B4" s="22">
        <v>57.471480059000001</v>
      </c>
      <c r="C4">
        <v>52.463027771</v>
      </c>
      <c r="D4">
        <v>50.329591063499997</v>
      </c>
      <c r="E4">
        <v>43.699216931999999</v>
      </c>
      <c r="F4">
        <v>51.579644739000003</v>
      </c>
      <c r="H4">
        <v>2.2000000000000002</v>
      </c>
      <c r="I4">
        <v>60.077008897499994</v>
      </c>
      <c r="J4">
        <v>40.557852737499999</v>
      </c>
      <c r="K4">
        <v>37.244185702499998</v>
      </c>
      <c r="L4">
        <v>34.809390640499998</v>
      </c>
      <c r="M4">
        <v>58.781452366000003</v>
      </c>
      <c r="O4">
        <v>3.2</v>
      </c>
      <c r="P4">
        <v>82.248765816000002</v>
      </c>
      <c r="Q4">
        <v>57.332323695500001</v>
      </c>
      <c r="R4">
        <v>47.249126165499995</v>
      </c>
      <c r="S4">
        <v>22.601092055500001</v>
      </c>
      <c r="T4">
        <v>60.226364177000001</v>
      </c>
    </row>
    <row r="5" spans="1:20" x14ac:dyDescent="0.25">
      <c r="A5">
        <v>1.3</v>
      </c>
      <c r="B5" s="22">
        <v>61.634402983999998</v>
      </c>
      <c r="C5">
        <v>46.983267884</v>
      </c>
      <c r="D5">
        <v>43.918591692500001</v>
      </c>
      <c r="E5">
        <v>44.647912252999994</v>
      </c>
      <c r="F5">
        <v>67.130147710499998</v>
      </c>
      <c r="H5">
        <v>2.2999999999999998</v>
      </c>
      <c r="I5">
        <v>49.007458510500001</v>
      </c>
      <c r="J5">
        <v>36.035908356</v>
      </c>
      <c r="K5">
        <v>57.376649753499997</v>
      </c>
      <c r="L5">
        <v>49.603212497999998</v>
      </c>
      <c r="M5">
        <v>68.687541797000009</v>
      </c>
      <c r="O5">
        <v>3.3</v>
      </c>
      <c r="P5">
        <v>53.331798894499997</v>
      </c>
      <c r="Q5">
        <v>51.910324977000002</v>
      </c>
      <c r="R5">
        <v>51.296624820000005</v>
      </c>
      <c r="S5">
        <v>27.819504720000001</v>
      </c>
      <c r="T5">
        <v>57.781762465000007</v>
      </c>
    </row>
    <row r="6" spans="1:20" x14ac:dyDescent="0.25">
      <c r="A6">
        <v>1.4</v>
      </c>
      <c r="B6" s="22">
        <v>62.921623863000001</v>
      </c>
      <c r="C6">
        <v>37.2084894965</v>
      </c>
      <c r="D6">
        <v>67.784349332000005</v>
      </c>
      <c r="E6">
        <v>36.418367705999998</v>
      </c>
      <c r="F6">
        <v>46.864901618500006</v>
      </c>
      <c r="H6">
        <v>2.4</v>
      </c>
      <c r="I6">
        <v>46.549127488499998</v>
      </c>
      <c r="J6">
        <v>31.703722652</v>
      </c>
      <c r="K6">
        <v>42.141822845500002</v>
      </c>
      <c r="L6">
        <v>48.668148420500003</v>
      </c>
      <c r="M6">
        <v>39.7601798265</v>
      </c>
      <c r="O6">
        <v>3.4</v>
      </c>
      <c r="P6">
        <v>72.822025436999994</v>
      </c>
      <c r="Q6">
        <v>45.295151152999999</v>
      </c>
      <c r="R6">
        <v>33.879033755000002</v>
      </c>
      <c r="S6">
        <v>27.171383221500001</v>
      </c>
      <c r="T6">
        <v>76.097250404000008</v>
      </c>
    </row>
    <row r="7" spans="1:20" x14ac:dyDescent="0.25">
      <c r="A7">
        <v>1.5</v>
      </c>
      <c r="B7" s="22">
        <v>59.030443209500007</v>
      </c>
      <c r="C7">
        <v>48.346392234</v>
      </c>
      <c r="D7">
        <v>54.336980519500003</v>
      </c>
      <c r="E7">
        <v>48.920963857500006</v>
      </c>
      <c r="F7">
        <v>53.392011725500005</v>
      </c>
      <c r="H7">
        <v>2.5</v>
      </c>
      <c r="I7">
        <v>42.317852213000002</v>
      </c>
      <c r="J7">
        <v>50.495029249000005</v>
      </c>
      <c r="K7">
        <v>29.924698275499999</v>
      </c>
      <c r="L7">
        <v>50.111000834999999</v>
      </c>
      <c r="M7">
        <v>52.842545125999997</v>
      </c>
      <c r="O7">
        <v>3.5</v>
      </c>
      <c r="P7">
        <v>82.341732858</v>
      </c>
      <c r="Q7">
        <v>49.957232563000005</v>
      </c>
      <c r="R7">
        <v>34.067321435000004</v>
      </c>
      <c r="S7">
        <v>34.056436053500001</v>
      </c>
      <c r="T7">
        <v>76.335355866</v>
      </c>
    </row>
    <row r="8" spans="1:20" x14ac:dyDescent="0.25">
      <c r="A8">
        <v>1.6</v>
      </c>
      <c r="B8" s="22">
        <v>63.872672780000002</v>
      </c>
      <c r="C8">
        <v>42.206350602500002</v>
      </c>
      <c r="D8">
        <v>60.962745525500004</v>
      </c>
      <c r="E8">
        <v>42.061310249000002</v>
      </c>
      <c r="F8">
        <v>55.882214359999999</v>
      </c>
      <c r="H8">
        <v>2.6</v>
      </c>
      <c r="I8">
        <v>59.841747364</v>
      </c>
      <c r="J8">
        <v>47.645118692499999</v>
      </c>
      <c r="K8">
        <v>41.564995692499998</v>
      </c>
      <c r="L8">
        <v>49.697356338000006</v>
      </c>
      <c r="M8">
        <v>58.614445116500001</v>
      </c>
      <c r="O8">
        <v>3.6</v>
      </c>
      <c r="P8">
        <v>73.587434469499996</v>
      </c>
      <c r="Q8">
        <v>39.786951981000001</v>
      </c>
      <c r="R8">
        <v>39.095092823500003</v>
      </c>
      <c r="S8">
        <v>26.903759743000002</v>
      </c>
      <c r="T8">
        <v>63.601616974000002</v>
      </c>
    </row>
    <row r="9" spans="1:20" x14ac:dyDescent="0.25">
      <c r="A9">
        <v>1.7</v>
      </c>
      <c r="B9" s="22">
        <v>63.817951672999996</v>
      </c>
      <c r="C9">
        <v>57.385671871500001</v>
      </c>
      <c r="D9">
        <v>63.087062048500002</v>
      </c>
      <c r="E9">
        <v>39.222775406499998</v>
      </c>
      <c r="F9">
        <v>36.770622574000001</v>
      </c>
      <c r="H9">
        <v>2.7</v>
      </c>
      <c r="I9">
        <v>46.342697506</v>
      </c>
      <c r="J9">
        <v>54.808974583999998</v>
      </c>
      <c r="K9">
        <v>37.777765529</v>
      </c>
      <c r="L9">
        <v>51.315453588000004</v>
      </c>
      <c r="M9">
        <v>42.597930136999999</v>
      </c>
      <c r="O9">
        <v>3.7</v>
      </c>
      <c r="P9">
        <v>80.446009346499991</v>
      </c>
      <c r="Q9">
        <v>60.456820452000002</v>
      </c>
      <c r="R9">
        <v>34.234622884000004</v>
      </c>
      <c r="S9">
        <v>30.103081238999998</v>
      </c>
      <c r="T9">
        <v>92.004617369000002</v>
      </c>
    </row>
    <row r="10" spans="1:20" x14ac:dyDescent="0.25">
      <c r="A10">
        <v>1.8</v>
      </c>
      <c r="B10" s="22">
        <v>54.471233558000002</v>
      </c>
      <c r="C10">
        <v>36.579294832500004</v>
      </c>
      <c r="D10">
        <v>58.724573796000001</v>
      </c>
      <c r="E10">
        <v>40.672394409500001</v>
      </c>
      <c r="F10">
        <v>56.619184107500004</v>
      </c>
      <c r="H10">
        <v>2.8</v>
      </c>
      <c r="I10">
        <v>54.524385600999999</v>
      </c>
      <c r="J10">
        <v>39.8300031745</v>
      </c>
      <c r="K10">
        <v>40.982088416500005</v>
      </c>
      <c r="L10">
        <v>56.721663599999999</v>
      </c>
      <c r="M10">
        <v>50.904849152500006</v>
      </c>
      <c r="O10">
        <v>3.8</v>
      </c>
      <c r="P10">
        <v>70.572379927</v>
      </c>
      <c r="Q10">
        <v>42.567039189500001</v>
      </c>
      <c r="R10">
        <v>54.124078148000002</v>
      </c>
      <c r="S10">
        <v>26.879635384</v>
      </c>
      <c r="T10">
        <v>75.115310539500001</v>
      </c>
    </row>
    <row r="11" spans="1:20" x14ac:dyDescent="0.25">
      <c r="A11">
        <v>1.9</v>
      </c>
      <c r="B11" s="22">
        <v>59.006907249499996</v>
      </c>
      <c r="C11">
        <v>41.252261624000006</v>
      </c>
      <c r="D11">
        <v>51.335949486500006</v>
      </c>
      <c r="E11">
        <v>43.583106195999996</v>
      </c>
      <c r="F11">
        <v>26.224649230500003</v>
      </c>
      <c r="H11">
        <v>2.9</v>
      </c>
      <c r="I11">
        <v>60.036801632500001</v>
      </c>
      <c r="J11">
        <v>52.043303150999996</v>
      </c>
      <c r="K11">
        <v>24.479065530500002</v>
      </c>
      <c r="L11">
        <v>58.492254257500001</v>
      </c>
      <c r="M11">
        <v>39.532469413500003</v>
      </c>
      <c r="O11">
        <v>3.9</v>
      </c>
      <c r="P11">
        <v>75.744211004000007</v>
      </c>
      <c r="Q11">
        <v>48.229595032500001</v>
      </c>
      <c r="R11">
        <v>37.048837234499999</v>
      </c>
      <c r="S11">
        <v>44.260647644499997</v>
      </c>
      <c r="T11">
        <v>46.930900373</v>
      </c>
    </row>
    <row r="12" spans="1:20" x14ac:dyDescent="0.25">
      <c r="A12" s="22">
        <v>1.1000000000000001</v>
      </c>
      <c r="B12" s="22">
        <v>58.423215441500005</v>
      </c>
      <c r="C12">
        <v>44.946230545999995</v>
      </c>
      <c r="D12">
        <v>51.557579776499999</v>
      </c>
      <c r="E12">
        <v>46.175003791000002</v>
      </c>
      <c r="F12">
        <v>58.730653918999998</v>
      </c>
      <c r="H12" s="22">
        <v>2.1</v>
      </c>
      <c r="I12">
        <v>40.182159975999994</v>
      </c>
      <c r="J12">
        <v>73.135053705000004</v>
      </c>
      <c r="K12">
        <v>41.344444134</v>
      </c>
      <c r="L12">
        <v>48.234106091500003</v>
      </c>
      <c r="M12">
        <v>84.252852809999993</v>
      </c>
      <c r="O12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08F5-50A9-485D-8806-53F58A72DCED}">
  <dimension ref="A1:T12"/>
  <sheetViews>
    <sheetView workbookViewId="0">
      <selection activeCell="H1" sqref="H1:T1"/>
    </sheetView>
  </sheetViews>
  <sheetFormatPr defaultRowHeight="15" x14ac:dyDescent="0.25"/>
  <cols>
    <col min="1" max="1" width="18.85546875" customWidth="1"/>
    <col min="8" max="8" width="17.85546875" customWidth="1"/>
    <col min="15" max="15" width="21.42578125" customWidth="1"/>
  </cols>
  <sheetData>
    <row r="1" spans="1:20" x14ac:dyDescent="0.25">
      <c r="A1" s="15" t="s">
        <v>62</v>
      </c>
      <c r="H1" s="15" t="s">
        <v>67</v>
      </c>
      <c r="O1" s="15" t="s">
        <v>68</v>
      </c>
    </row>
    <row r="2" spans="1:20" x14ac:dyDescent="0.25">
      <c r="A2" s="15" t="s">
        <v>52</v>
      </c>
      <c r="B2" s="16" t="s">
        <v>24</v>
      </c>
      <c r="C2" s="16" t="s">
        <v>63</v>
      </c>
      <c r="D2" s="16" t="s">
        <v>64</v>
      </c>
      <c r="E2" s="16" t="s">
        <v>65</v>
      </c>
      <c r="F2" s="16" t="s">
        <v>66</v>
      </c>
      <c r="H2" s="15" t="s">
        <v>52</v>
      </c>
      <c r="I2" s="16" t="s">
        <v>24</v>
      </c>
      <c r="J2" s="16" t="s">
        <v>63</v>
      </c>
      <c r="K2" s="16" t="s">
        <v>64</v>
      </c>
      <c r="L2" s="16" t="s">
        <v>65</v>
      </c>
      <c r="M2" s="16" t="s">
        <v>66</v>
      </c>
      <c r="O2" s="15" t="s">
        <v>52</v>
      </c>
      <c r="P2" s="16" t="s">
        <v>24</v>
      </c>
      <c r="Q2" s="16" t="s">
        <v>63</v>
      </c>
      <c r="R2" s="16" t="s">
        <v>64</v>
      </c>
      <c r="S2" s="16" t="s">
        <v>65</v>
      </c>
      <c r="T2" s="16" t="s">
        <v>66</v>
      </c>
    </row>
    <row r="3" spans="1:20" x14ac:dyDescent="0.25">
      <c r="A3">
        <v>1.1000000000000001</v>
      </c>
      <c r="B3">
        <v>0.86</v>
      </c>
      <c r="C3">
        <v>0.74</v>
      </c>
      <c r="D3">
        <v>0.76</v>
      </c>
      <c r="E3">
        <v>0.89</v>
      </c>
      <c r="F3">
        <v>0.43</v>
      </c>
      <c r="H3">
        <v>2.1</v>
      </c>
      <c r="I3">
        <v>0.64</v>
      </c>
      <c r="J3">
        <v>0.38</v>
      </c>
      <c r="K3">
        <v>0.37</v>
      </c>
      <c r="L3">
        <v>0.74</v>
      </c>
      <c r="M3">
        <v>0.51</v>
      </c>
      <c r="O3">
        <v>3.1</v>
      </c>
      <c r="P3">
        <v>0.96</v>
      </c>
      <c r="Q3">
        <v>0.42</v>
      </c>
      <c r="R3">
        <v>0.45</v>
      </c>
      <c r="S3">
        <v>0.54</v>
      </c>
      <c r="T3">
        <v>0.55000000000000004</v>
      </c>
    </row>
    <row r="4" spans="1:20" x14ac:dyDescent="0.25">
      <c r="A4">
        <v>1.2</v>
      </c>
      <c r="B4">
        <v>0.84</v>
      </c>
      <c r="C4">
        <v>0.69</v>
      </c>
      <c r="D4">
        <v>0.78</v>
      </c>
      <c r="E4">
        <v>0.68</v>
      </c>
      <c r="F4">
        <v>0.71</v>
      </c>
      <c r="H4">
        <v>2.2000000000000002</v>
      </c>
      <c r="I4">
        <v>1.05</v>
      </c>
      <c r="J4">
        <v>0.54</v>
      </c>
      <c r="K4">
        <v>0.4</v>
      </c>
      <c r="L4">
        <v>0.5</v>
      </c>
      <c r="M4">
        <v>0.61</v>
      </c>
      <c r="O4">
        <v>3.2</v>
      </c>
      <c r="P4">
        <v>0.96</v>
      </c>
      <c r="Q4">
        <v>0.39</v>
      </c>
      <c r="R4">
        <v>0.6</v>
      </c>
      <c r="S4">
        <v>0.36</v>
      </c>
      <c r="T4">
        <v>0.56000000000000005</v>
      </c>
    </row>
    <row r="5" spans="1:20" x14ac:dyDescent="0.25">
      <c r="A5">
        <v>1.3</v>
      </c>
      <c r="B5">
        <v>0.72</v>
      </c>
      <c r="C5">
        <v>0.51</v>
      </c>
      <c r="D5">
        <v>1.03</v>
      </c>
      <c r="E5">
        <v>0.68</v>
      </c>
      <c r="F5">
        <v>0.71</v>
      </c>
      <c r="H5">
        <v>2.2999999999999998</v>
      </c>
      <c r="I5">
        <v>0.78</v>
      </c>
      <c r="J5">
        <v>0.51</v>
      </c>
      <c r="K5">
        <v>0.83</v>
      </c>
      <c r="L5">
        <v>0.63</v>
      </c>
      <c r="M5">
        <v>0.65</v>
      </c>
      <c r="O5">
        <v>3.3</v>
      </c>
      <c r="P5">
        <v>0.63</v>
      </c>
      <c r="Q5">
        <v>0.55000000000000004</v>
      </c>
      <c r="R5">
        <v>0.56000000000000005</v>
      </c>
      <c r="S5">
        <v>0.4</v>
      </c>
      <c r="T5">
        <v>0.65</v>
      </c>
    </row>
    <row r="6" spans="1:20" x14ac:dyDescent="0.25">
      <c r="A6">
        <v>1.4</v>
      </c>
      <c r="B6">
        <v>0.91</v>
      </c>
      <c r="C6">
        <v>0.56999999999999995</v>
      </c>
      <c r="D6">
        <v>1.02</v>
      </c>
      <c r="E6">
        <v>0.55000000000000004</v>
      </c>
      <c r="F6">
        <v>0.56999999999999995</v>
      </c>
      <c r="H6">
        <v>2.4</v>
      </c>
      <c r="I6">
        <v>0.56000000000000005</v>
      </c>
      <c r="J6">
        <v>0.49</v>
      </c>
      <c r="K6">
        <v>0.52</v>
      </c>
      <c r="L6">
        <v>0.91</v>
      </c>
      <c r="M6">
        <v>0.48</v>
      </c>
      <c r="O6">
        <v>3.4</v>
      </c>
      <c r="P6">
        <v>0.59</v>
      </c>
      <c r="Q6">
        <v>0.46</v>
      </c>
      <c r="R6">
        <v>0.44</v>
      </c>
      <c r="S6">
        <v>0.41</v>
      </c>
      <c r="T6">
        <v>0.6</v>
      </c>
    </row>
    <row r="7" spans="1:20" x14ac:dyDescent="0.25">
      <c r="A7">
        <v>1.5</v>
      </c>
      <c r="B7">
        <v>0.83</v>
      </c>
      <c r="C7">
        <v>0.74</v>
      </c>
      <c r="D7">
        <v>0.81</v>
      </c>
      <c r="E7">
        <v>0.92</v>
      </c>
      <c r="F7">
        <v>0.62</v>
      </c>
      <c r="H7">
        <v>2.5</v>
      </c>
      <c r="I7">
        <v>0.68</v>
      </c>
      <c r="J7">
        <v>0.61</v>
      </c>
      <c r="K7">
        <v>0.56000000000000005</v>
      </c>
      <c r="L7">
        <v>1.01</v>
      </c>
      <c r="M7">
        <v>0.52</v>
      </c>
      <c r="O7">
        <v>3.5</v>
      </c>
      <c r="P7">
        <v>0.72</v>
      </c>
      <c r="Q7">
        <v>0.42</v>
      </c>
      <c r="R7">
        <v>0.5</v>
      </c>
      <c r="S7">
        <v>0.5</v>
      </c>
      <c r="T7">
        <v>0.76</v>
      </c>
    </row>
    <row r="8" spans="1:20" x14ac:dyDescent="0.25">
      <c r="A8">
        <v>1.6</v>
      </c>
      <c r="B8">
        <v>0.63</v>
      </c>
      <c r="C8">
        <v>0.53</v>
      </c>
      <c r="D8">
        <v>1.1000000000000001</v>
      </c>
      <c r="E8">
        <v>0.49</v>
      </c>
      <c r="F8">
        <v>0.86</v>
      </c>
      <c r="H8">
        <v>2.6</v>
      </c>
      <c r="I8">
        <v>0.95</v>
      </c>
      <c r="J8">
        <v>0.47</v>
      </c>
      <c r="K8">
        <v>0.6</v>
      </c>
      <c r="L8">
        <v>0.54</v>
      </c>
      <c r="M8">
        <v>0.54</v>
      </c>
      <c r="O8">
        <v>3.6</v>
      </c>
      <c r="P8">
        <v>0.59</v>
      </c>
      <c r="Q8">
        <v>0.33</v>
      </c>
      <c r="R8">
        <v>0.44</v>
      </c>
      <c r="S8">
        <v>0.39</v>
      </c>
      <c r="T8">
        <v>0.56999999999999995</v>
      </c>
    </row>
    <row r="9" spans="1:20" x14ac:dyDescent="0.25">
      <c r="A9">
        <v>1.7</v>
      </c>
      <c r="B9">
        <v>0.87</v>
      </c>
      <c r="C9">
        <v>0.87</v>
      </c>
      <c r="D9">
        <v>0.77</v>
      </c>
      <c r="E9">
        <v>0.56999999999999995</v>
      </c>
      <c r="F9">
        <v>0.43</v>
      </c>
      <c r="H9">
        <v>2.7</v>
      </c>
      <c r="I9">
        <v>0.77</v>
      </c>
      <c r="J9">
        <v>0.62</v>
      </c>
      <c r="K9">
        <v>0.5</v>
      </c>
      <c r="L9">
        <v>0.76</v>
      </c>
      <c r="M9">
        <v>0.52</v>
      </c>
      <c r="O9">
        <v>3.7</v>
      </c>
      <c r="P9">
        <v>0.68</v>
      </c>
      <c r="Q9">
        <v>0.46</v>
      </c>
      <c r="R9">
        <v>0.51</v>
      </c>
      <c r="S9">
        <v>0.45</v>
      </c>
      <c r="T9">
        <v>0.75</v>
      </c>
    </row>
    <row r="10" spans="1:20" x14ac:dyDescent="0.25">
      <c r="A10">
        <v>1.8</v>
      </c>
      <c r="B10">
        <v>0.75</v>
      </c>
      <c r="C10">
        <v>0.45</v>
      </c>
      <c r="D10">
        <v>0.81</v>
      </c>
      <c r="E10">
        <v>0.76</v>
      </c>
      <c r="F10">
        <v>0.6</v>
      </c>
      <c r="H10">
        <v>2.8</v>
      </c>
      <c r="I10">
        <v>0.68</v>
      </c>
      <c r="J10">
        <v>0.46</v>
      </c>
      <c r="K10">
        <v>0.59</v>
      </c>
      <c r="L10">
        <v>0.71</v>
      </c>
      <c r="M10">
        <v>0.53</v>
      </c>
      <c r="O10">
        <v>3.8</v>
      </c>
      <c r="P10">
        <v>0.66</v>
      </c>
      <c r="Q10">
        <v>0.41</v>
      </c>
      <c r="R10">
        <v>0.81</v>
      </c>
      <c r="S10">
        <v>0.42</v>
      </c>
      <c r="T10">
        <v>0.82</v>
      </c>
    </row>
    <row r="11" spans="1:20" x14ac:dyDescent="0.25">
      <c r="A11">
        <v>1.9</v>
      </c>
      <c r="B11">
        <v>1.1399999999999999</v>
      </c>
      <c r="C11">
        <v>0.69</v>
      </c>
      <c r="D11">
        <v>0.64</v>
      </c>
      <c r="E11">
        <v>0.77</v>
      </c>
      <c r="F11">
        <v>0.37</v>
      </c>
      <c r="H11">
        <v>2.9</v>
      </c>
      <c r="I11">
        <v>0.82</v>
      </c>
      <c r="J11">
        <v>0.5</v>
      </c>
      <c r="K11">
        <v>0.36</v>
      </c>
      <c r="L11">
        <v>0.73</v>
      </c>
      <c r="M11">
        <v>0.45</v>
      </c>
      <c r="O11">
        <v>3.9</v>
      </c>
      <c r="P11">
        <v>0.56999999999999995</v>
      </c>
      <c r="Q11">
        <v>0.5</v>
      </c>
      <c r="R11">
        <v>0.48</v>
      </c>
      <c r="S11">
        <v>0.88</v>
      </c>
      <c r="T11">
        <v>0.44</v>
      </c>
    </row>
    <row r="12" spans="1:20" x14ac:dyDescent="0.25">
      <c r="A12" s="22">
        <v>1.1000000000000001</v>
      </c>
      <c r="B12">
        <v>1.17</v>
      </c>
      <c r="C12">
        <v>0.5</v>
      </c>
      <c r="D12">
        <v>0.73</v>
      </c>
      <c r="E12">
        <v>0.69</v>
      </c>
      <c r="F12">
        <v>0.89</v>
      </c>
      <c r="H12" s="22">
        <v>2.1</v>
      </c>
      <c r="I12">
        <v>0.74</v>
      </c>
      <c r="J12">
        <v>0.55000000000000004</v>
      </c>
      <c r="K12">
        <v>0.52</v>
      </c>
      <c r="L12">
        <v>0.95</v>
      </c>
      <c r="M12">
        <v>0.87</v>
      </c>
      <c r="O12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18E7-82E0-4CF7-9827-E168C8F25F74}">
  <dimension ref="A1:T14"/>
  <sheetViews>
    <sheetView workbookViewId="0">
      <selection activeCell="H1" sqref="H1:T1"/>
    </sheetView>
  </sheetViews>
  <sheetFormatPr defaultRowHeight="15" x14ac:dyDescent="0.25"/>
  <cols>
    <col min="1" max="1" width="15.140625" customWidth="1"/>
    <col min="8" max="8" width="12.85546875" customWidth="1"/>
    <col min="15" max="15" width="13.140625" customWidth="1"/>
  </cols>
  <sheetData>
    <row r="1" spans="1:20" x14ac:dyDescent="0.25">
      <c r="A1" s="15" t="s">
        <v>62</v>
      </c>
      <c r="B1" s="16" t="s">
        <v>24</v>
      </c>
      <c r="C1" s="16" t="s">
        <v>63</v>
      </c>
      <c r="D1" s="16" t="s">
        <v>64</v>
      </c>
      <c r="E1" s="16" t="s">
        <v>65</v>
      </c>
      <c r="F1" s="16" t="s">
        <v>66</v>
      </c>
      <c r="H1" s="15" t="s">
        <v>67</v>
      </c>
      <c r="I1" s="16" t="s">
        <v>24</v>
      </c>
      <c r="J1" s="16" t="s">
        <v>63</v>
      </c>
      <c r="K1" s="16" t="s">
        <v>64</v>
      </c>
      <c r="L1" s="16" t="s">
        <v>65</v>
      </c>
      <c r="M1" s="16" t="s">
        <v>66</v>
      </c>
      <c r="O1" s="15" t="s">
        <v>68</v>
      </c>
      <c r="P1" s="16" t="s">
        <v>24</v>
      </c>
      <c r="Q1" s="16" t="s">
        <v>63</v>
      </c>
      <c r="R1" s="16" t="s">
        <v>64</v>
      </c>
      <c r="S1" s="16" t="s">
        <v>65</v>
      </c>
      <c r="T1" s="16" t="s">
        <v>66</v>
      </c>
    </row>
    <row r="2" spans="1:20" x14ac:dyDescent="0.25">
      <c r="A2" s="15" t="s">
        <v>80</v>
      </c>
      <c r="B2">
        <v>60.79</v>
      </c>
      <c r="C2">
        <v>67.03</v>
      </c>
      <c r="D2">
        <v>59.22</v>
      </c>
      <c r="E2">
        <v>58.09</v>
      </c>
      <c r="F2">
        <v>61.76</v>
      </c>
      <c r="H2" s="15" t="s">
        <v>80</v>
      </c>
      <c r="I2">
        <v>65.11</v>
      </c>
      <c r="J2">
        <v>63.09</v>
      </c>
      <c r="K2">
        <v>61.62</v>
      </c>
      <c r="L2">
        <v>56.86</v>
      </c>
      <c r="M2">
        <v>62.78</v>
      </c>
      <c r="O2" s="15" t="s">
        <v>80</v>
      </c>
      <c r="P2">
        <v>62.26</v>
      </c>
      <c r="Q2">
        <v>63.47</v>
      </c>
      <c r="R2">
        <v>59.67</v>
      </c>
      <c r="S2">
        <v>57.76</v>
      </c>
      <c r="T2">
        <v>63.12</v>
      </c>
    </row>
    <row r="3" spans="1:20" x14ac:dyDescent="0.25">
      <c r="A3" s="15" t="s">
        <v>80</v>
      </c>
      <c r="B3">
        <v>62.97</v>
      </c>
      <c r="C3">
        <v>59.25</v>
      </c>
      <c r="D3">
        <v>60.73</v>
      </c>
      <c r="E3">
        <v>52.8</v>
      </c>
      <c r="F3">
        <v>55.63</v>
      </c>
      <c r="H3" s="15" t="s">
        <v>80</v>
      </c>
      <c r="I3">
        <v>62.8</v>
      </c>
      <c r="J3">
        <v>62.96</v>
      </c>
      <c r="K3">
        <v>58.61</v>
      </c>
      <c r="L3">
        <v>60.57</v>
      </c>
      <c r="M3">
        <v>58.76</v>
      </c>
      <c r="O3" s="15" t="s">
        <v>80</v>
      </c>
      <c r="P3">
        <v>62.63</v>
      </c>
      <c r="Q3">
        <v>65.010000000000005</v>
      </c>
      <c r="R3">
        <v>62.59</v>
      </c>
      <c r="S3">
        <v>62.15</v>
      </c>
      <c r="T3">
        <v>65.72</v>
      </c>
    </row>
    <row r="4" spans="1:20" x14ac:dyDescent="0.25">
      <c r="A4" s="15" t="s">
        <v>80</v>
      </c>
      <c r="B4">
        <v>60.28</v>
      </c>
      <c r="C4">
        <v>63.11</v>
      </c>
      <c r="D4">
        <v>59.16</v>
      </c>
      <c r="E4">
        <v>55.6</v>
      </c>
      <c r="F4">
        <v>62.24</v>
      </c>
      <c r="H4" s="15" t="s">
        <v>80</v>
      </c>
      <c r="I4">
        <v>60.78</v>
      </c>
      <c r="J4">
        <v>60.82</v>
      </c>
      <c r="K4">
        <v>60.46</v>
      </c>
      <c r="L4">
        <v>58.22</v>
      </c>
      <c r="M4">
        <v>62.03</v>
      </c>
      <c r="O4" s="15" t="s">
        <v>80</v>
      </c>
      <c r="P4">
        <v>60.01</v>
      </c>
      <c r="Q4">
        <v>65.42</v>
      </c>
      <c r="R4">
        <v>62.48</v>
      </c>
      <c r="S4">
        <v>63.03</v>
      </c>
      <c r="T4">
        <v>65.72</v>
      </c>
    </row>
    <row r="5" spans="1:20" x14ac:dyDescent="0.25">
      <c r="A5" s="15" t="s">
        <v>81</v>
      </c>
      <c r="B5">
        <v>11.36</v>
      </c>
      <c r="C5">
        <v>6.86</v>
      </c>
      <c r="D5">
        <v>10.71</v>
      </c>
      <c r="E5">
        <v>10.94</v>
      </c>
      <c r="F5">
        <v>10.29</v>
      </c>
      <c r="H5" s="15" t="s">
        <v>81</v>
      </c>
      <c r="I5">
        <v>9.14</v>
      </c>
      <c r="J5">
        <v>9.64</v>
      </c>
      <c r="K5">
        <v>10.130000000000001</v>
      </c>
      <c r="L5">
        <v>13.14</v>
      </c>
      <c r="M5">
        <v>9.31</v>
      </c>
      <c r="O5" s="15" t="s">
        <v>81</v>
      </c>
      <c r="P5">
        <v>10.26</v>
      </c>
      <c r="Q5">
        <v>7.63</v>
      </c>
      <c r="R5">
        <v>10.25</v>
      </c>
      <c r="S5">
        <v>11.69</v>
      </c>
      <c r="T5">
        <v>8.57</v>
      </c>
    </row>
    <row r="6" spans="1:20" x14ac:dyDescent="0.25">
      <c r="A6" s="15" t="s">
        <v>81</v>
      </c>
      <c r="B6">
        <v>10.6</v>
      </c>
      <c r="C6">
        <v>10.32</v>
      </c>
      <c r="D6">
        <v>10.64</v>
      </c>
      <c r="E6">
        <v>13.1</v>
      </c>
      <c r="F6">
        <v>11.42</v>
      </c>
      <c r="H6" s="15" t="s">
        <v>81</v>
      </c>
      <c r="I6">
        <v>10.54</v>
      </c>
      <c r="J6">
        <v>9.85</v>
      </c>
      <c r="K6">
        <v>11.12</v>
      </c>
      <c r="L6">
        <v>11.88</v>
      </c>
      <c r="M6">
        <v>10.92</v>
      </c>
      <c r="O6" s="15" t="s">
        <v>81</v>
      </c>
      <c r="P6">
        <v>9.81</v>
      </c>
      <c r="Q6">
        <v>7.33</v>
      </c>
      <c r="R6">
        <v>8.3699999999999992</v>
      </c>
      <c r="S6">
        <v>10.56</v>
      </c>
      <c r="T6">
        <v>6.73</v>
      </c>
    </row>
    <row r="7" spans="1:20" x14ac:dyDescent="0.25">
      <c r="A7" s="15" t="s">
        <v>81</v>
      </c>
      <c r="B7">
        <v>9.73</v>
      </c>
      <c r="C7">
        <v>9.27</v>
      </c>
      <c r="D7">
        <v>10.32</v>
      </c>
      <c r="E7">
        <v>12.23</v>
      </c>
      <c r="F7">
        <v>9.83</v>
      </c>
      <c r="H7" s="15" t="s">
        <v>81</v>
      </c>
      <c r="I7">
        <v>10.75</v>
      </c>
      <c r="J7">
        <v>10.52</v>
      </c>
      <c r="K7">
        <v>10.78</v>
      </c>
      <c r="L7">
        <v>12.64</v>
      </c>
      <c r="M7">
        <v>9.9</v>
      </c>
      <c r="O7" s="15" t="s">
        <v>81</v>
      </c>
      <c r="P7">
        <v>10.07</v>
      </c>
      <c r="Q7">
        <v>7.76</v>
      </c>
      <c r="R7">
        <v>8.64</v>
      </c>
      <c r="S7">
        <v>9.77</v>
      </c>
      <c r="T7">
        <v>7.37</v>
      </c>
    </row>
    <row r="8" spans="1:20" x14ac:dyDescent="0.25">
      <c r="A8" s="15" t="s">
        <v>82</v>
      </c>
      <c r="B8">
        <v>36.4</v>
      </c>
      <c r="C8">
        <v>35.880000000000003</v>
      </c>
      <c r="D8">
        <v>35.4</v>
      </c>
      <c r="E8">
        <v>36.74</v>
      </c>
      <c r="F8">
        <v>37.01</v>
      </c>
      <c r="H8" s="15" t="s">
        <v>82</v>
      </c>
      <c r="I8">
        <v>35.89</v>
      </c>
      <c r="J8">
        <v>36.729999999999997</v>
      </c>
      <c r="K8">
        <v>36.119999999999997</v>
      </c>
      <c r="L8">
        <v>37.01</v>
      </c>
      <c r="M8">
        <v>36.26</v>
      </c>
      <c r="O8" s="15" t="s">
        <v>82</v>
      </c>
      <c r="P8">
        <v>33.19</v>
      </c>
      <c r="Q8">
        <v>32.340000000000003</v>
      </c>
      <c r="R8">
        <v>31.42</v>
      </c>
      <c r="S8">
        <v>33.35</v>
      </c>
      <c r="T8">
        <v>33.47</v>
      </c>
    </row>
    <row r="9" spans="1:20" x14ac:dyDescent="0.25">
      <c r="A9" s="15" t="s">
        <v>82</v>
      </c>
      <c r="B9">
        <v>36.950000000000003</v>
      </c>
      <c r="C9">
        <v>35.32</v>
      </c>
      <c r="D9">
        <v>36.47</v>
      </c>
      <c r="E9">
        <v>34.82</v>
      </c>
      <c r="F9">
        <v>34.67</v>
      </c>
      <c r="H9" s="15" t="s">
        <v>82</v>
      </c>
      <c r="I9">
        <v>36.380000000000003</v>
      </c>
      <c r="J9">
        <v>36.909999999999997</v>
      </c>
      <c r="K9">
        <v>35.08</v>
      </c>
      <c r="L9">
        <v>37.76</v>
      </c>
      <c r="M9">
        <v>35.82</v>
      </c>
      <c r="O9" s="15" t="s">
        <v>82</v>
      </c>
      <c r="P9">
        <v>32.89</v>
      </c>
      <c r="Q9">
        <v>33.78</v>
      </c>
      <c r="R9">
        <v>31.83</v>
      </c>
      <c r="S9">
        <v>34.03</v>
      </c>
      <c r="T9">
        <v>31.3</v>
      </c>
    </row>
    <row r="10" spans="1:20" x14ac:dyDescent="0.25">
      <c r="A10" s="15" t="s">
        <v>82</v>
      </c>
      <c r="B10">
        <v>35.39</v>
      </c>
      <c r="C10">
        <v>36.03</v>
      </c>
      <c r="D10">
        <v>35.47</v>
      </c>
      <c r="E10">
        <v>36.1</v>
      </c>
      <c r="F10">
        <v>36.49</v>
      </c>
      <c r="H10" s="15" t="s">
        <v>82</v>
      </c>
      <c r="I10">
        <v>35.82</v>
      </c>
      <c r="J10">
        <v>36.840000000000003</v>
      </c>
      <c r="K10">
        <v>36.130000000000003</v>
      </c>
      <c r="L10">
        <v>37.22</v>
      </c>
      <c r="M10">
        <v>36.299999999999997</v>
      </c>
      <c r="O10" s="15" t="s">
        <v>82</v>
      </c>
      <c r="P10">
        <v>31.9</v>
      </c>
      <c r="Q10">
        <v>33.42</v>
      </c>
      <c r="R10">
        <v>32.51</v>
      </c>
      <c r="S10">
        <v>34.4</v>
      </c>
      <c r="T10">
        <v>31.95</v>
      </c>
    </row>
    <row r="14" spans="1:20" x14ac:dyDescent="0.25">
      <c r="A14" s="1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2013-B282-4774-8B54-641F232D12DF}">
  <dimension ref="A1:N49"/>
  <sheetViews>
    <sheetView workbookViewId="0">
      <selection activeCell="H1" sqref="H1:T1"/>
    </sheetView>
  </sheetViews>
  <sheetFormatPr defaultRowHeight="17.25" x14ac:dyDescent="0.25"/>
  <cols>
    <col min="1" max="1" width="22.140625" bestFit="1" customWidth="1"/>
    <col min="3" max="3" width="1.85546875" style="34" bestFit="1" customWidth="1"/>
    <col min="5" max="5" width="1.85546875" style="34" bestFit="1" customWidth="1"/>
    <col min="7" max="7" width="2.42578125" style="34" bestFit="1" customWidth="1"/>
    <col min="9" max="9" width="1.85546875" style="34" bestFit="1" customWidth="1"/>
    <col min="11" max="11" width="2.42578125" style="34" bestFit="1" customWidth="1"/>
    <col min="12" max="12" width="15.5703125" style="19" customWidth="1"/>
  </cols>
  <sheetData>
    <row r="1" spans="1:12" ht="45" x14ac:dyDescent="0.25">
      <c r="A1" s="24"/>
      <c r="B1" s="25" t="s">
        <v>24</v>
      </c>
      <c r="C1" s="26"/>
      <c r="D1" s="25" t="s">
        <v>63</v>
      </c>
      <c r="E1" s="26"/>
      <c r="F1" s="25" t="s">
        <v>64</v>
      </c>
      <c r="G1" s="26"/>
      <c r="H1" s="25" t="s">
        <v>65</v>
      </c>
      <c r="I1" s="26"/>
      <c r="J1" s="25" t="s">
        <v>66</v>
      </c>
      <c r="K1" s="26"/>
      <c r="L1" s="27" t="s">
        <v>83</v>
      </c>
    </row>
    <row r="2" spans="1:12" ht="15" x14ac:dyDescent="0.25">
      <c r="A2" s="28" t="s">
        <v>84</v>
      </c>
      <c r="B2" s="29"/>
      <c r="C2" s="26"/>
      <c r="D2" s="29"/>
      <c r="E2" s="26"/>
      <c r="F2" s="29"/>
      <c r="G2" s="26"/>
      <c r="H2" s="29"/>
      <c r="I2" s="26"/>
      <c r="J2" s="29"/>
      <c r="K2" s="26"/>
      <c r="L2" s="27"/>
    </row>
    <row r="3" spans="1:12" x14ac:dyDescent="0.25">
      <c r="A3" s="24" t="s">
        <v>85</v>
      </c>
      <c r="B3" s="30">
        <v>38.993750000000006</v>
      </c>
      <c r="C3" s="31" t="s">
        <v>86</v>
      </c>
      <c r="D3" s="30">
        <v>57.137500000000003</v>
      </c>
      <c r="E3" s="31" t="s">
        <v>87</v>
      </c>
      <c r="F3" s="30">
        <v>69.150000000000006</v>
      </c>
      <c r="G3" s="31" t="s">
        <v>88</v>
      </c>
      <c r="H3" s="30">
        <v>62.056250000000006</v>
      </c>
      <c r="I3" s="31" t="s">
        <v>89</v>
      </c>
      <c r="J3" s="30">
        <v>60.112500000000011</v>
      </c>
      <c r="K3" s="31" t="s">
        <v>87</v>
      </c>
      <c r="L3" s="32" t="s">
        <v>90</v>
      </c>
    </row>
    <row r="4" spans="1:12" x14ac:dyDescent="0.25">
      <c r="A4" s="24" t="s">
        <v>91</v>
      </c>
      <c r="B4" s="30">
        <v>54.1</v>
      </c>
      <c r="C4" s="31" t="s">
        <v>86</v>
      </c>
      <c r="D4" s="30">
        <v>67.15625</v>
      </c>
      <c r="E4" s="31" t="s">
        <v>87</v>
      </c>
      <c r="F4" s="30">
        <v>82.19374999999998</v>
      </c>
      <c r="G4" s="31" t="s">
        <v>88</v>
      </c>
      <c r="H4" s="30">
        <v>79.168750000000003</v>
      </c>
      <c r="I4" s="31" t="s">
        <v>88</v>
      </c>
      <c r="J4" s="30">
        <v>78.05</v>
      </c>
      <c r="K4" s="31" t="s">
        <v>88</v>
      </c>
      <c r="L4" s="32" t="s">
        <v>90</v>
      </c>
    </row>
    <row r="5" spans="1:12" x14ac:dyDescent="0.25">
      <c r="A5" s="24" t="s">
        <v>92</v>
      </c>
      <c r="B5" s="30">
        <v>67.468749999999986</v>
      </c>
      <c r="C5" s="31" t="s">
        <v>88</v>
      </c>
      <c r="D5" s="30">
        <v>59.718749999999993</v>
      </c>
      <c r="E5" s="31" t="s">
        <v>87</v>
      </c>
      <c r="F5" s="30">
        <v>54.58124999999999</v>
      </c>
      <c r="G5" s="31" t="s">
        <v>93</v>
      </c>
      <c r="H5" s="30">
        <v>62.106250000000003</v>
      </c>
      <c r="I5" s="31" t="s">
        <v>89</v>
      </c>
      <c r="J5" s="30">
        <v>47.350000000000009</v>
      </c>
      <c r="K5" s="31" t="s">
        <v>86</v>
      </c>
      <c r="L5" s="32">
        <v>1.2105172487137186E-4</v>
      </c>
    </row>
    <row r="6" spans="1:12" x14ac:dyDescent="0.25">
      <c r="A6" s="24" t="s">
        <v>94</v>
      </c>
      <c r="B6" s="30">
        <v>74.412500000000009</v>
      </c>
      <c r="C6" s="31" t="s">
        <v>88</v>
      </c>
      <c r="D6" s="30">
        <v>59.818750000000009</v>
      </c>
      <c r="E6" s="31" t="s">
        <v>93</v>
      </c>
      <c r="F6" s="30">
        <v>49.156250000000007</v>
      </c>
      <c r="G6" s="31" t="s">
        <v>86</v>
      </c>
      <c r="H6" s="30">
        <v>62.143749999999997</v>
      </c>
      <c r="I6" s="31" t="s">
        <v>87</v>
      </c>
      <c r="J6" s="30">
        <v>51.4</v>
      </c>
      <c r="K6" s="31" t="s">
        <v>93</v>
      </c>
      <c r="L6" s="32">
        <v>3.9410911161085203E-4</v>
      </c>
    </row>
    <row r="7" spans="1:12" x14ac:dyDescent="0.25">
      <c r="A7" s="24" t="s">
        <v>95</v>
      </c>
      <c r="B7" s="30">
        <v>25.956249999999997</v>
      </c>
      <c r="C7" s="31" t="s">
        <v>87</v>
      </c>
      <c r="D7" s="30">
        <v>36.975000000000001</v>
      </c>
      <c r="E7" s="31" t="s">
        <v>88</v>
      </c>
      <c r="F7" s="30">
        <v>30.643750000000001</v>
      </c>
      <c r="G7" s="31" t="s">
        <v>89</v>
      </c>
      <c r="H7" s="30">
        <v>32.78125</v>
      </c>
      <c r="I7" s="31" t="s">
        <v>89</v>
      </c>
      <c r="J7" s="30">
        <v>29.1875</v>
      </c>
      <c r="K7" s="31" t="s">
        <v>89</v>
      </c>
      <c r="L7" s="20">
        <v>0.23778311377263184</v>
      </c>
    </row>
    <row r="8" spans="1:12" x14ac:dyDescent="0.25">
      <c r="A8" s="24" t="s">
        <v>96</v>
      </c>
      <c r="B8" s="30">
        <v>3.4562499999999998</v>
      </c>
      <c r="C8" s="31" t="s">
        <v>87</v>
      </c>
      <c r="D8" s="30">
        <v>21.612499999999997</v>
      </c>
      <c r="E8" s="31" t="s">
        <v>88</v>
      </c>
      <c r="F8" s="30">
        <v>24.637499999999999</v>
      </c>
      <c r="G8" s="31" t="s">
        <v>88</v>
      </c>
      <c r="H8" s="30">
        <v>27.887499999999996</v>
      </c>
      <c r="I8" s="31" t="s">
        <v>88</v>
      </c>
      <c r="J8" s="30">
        <v>29.5</v>
      </c>
      <c r="K8" s="31" t="s">
        <v>88</v>
      </c>
      <c r="L8" s="32">
        <v>5.622892896503044E-5</v>
      </c>
    </row>
    <row r="9" spans="1:12" x14ac:dyDescent="0.25">
      <c r="A9" s="28" t="s">
        <v>97</v>
      </c>
      <c r="B9" s="30"/>
      <c r="C9" s="31"/>
      <c r="D9" s="30"/>
      <c r="E9" s="31"/>
      <c r="F9" s="30"/>
      <c r="G9" s="31"/>
      <c r="H9" s="30"/>
      <c r="I9" s="31"/>
      <c r="J9" s="30"/>
      <c r="K9" s="31"/>
      <c r="L9" s="32"/>
    </row>
    <row r="10" spans="1:12" x14ac:dyDescent="0.25">
      <c r="A10" s="24" t="s">
        <v>98</v>
      </c>
      <c r="B10" s="30">
        <v>39.931249999999999</v>
      </c>
      <c r="C10" s="31" t="s">
        <v>88</v>
      </c>
      <c r="D10" s="30">
        <v>39.106250000000003</v>
      </c>
      <c r="E10" s="31" t="s">
        <v>88</v>
      </c>
      <c r="F10" s="30">
        <v>36.75</v>
      </c>
      <c r="G10" s="31" t="s">
        <v>88</v>
      </c>
      <c r="H10" s="30">
        <v>34.793750000000003</v>
      </c>
      <c r="I10" s="31" t="s">
        <v>88</v>
      </c>
      <c r="J10" s="30">
        <v>39.40625</v>
      </c>
      <c r="K10" s="31" t="s">
        <v>88</v>
      </c>
      <c r="L10" s="20">
        <v>0.68132230969802476</v>
      </c>
    </row>
    <row r="11" spans="1:12" x14ac:dyDescent="0.25">
      <c r="A11" s="24" t="s">
        <v>99</v>
      </c>
      <c r="B11" s="30">
        <v>0.53749999999999998</v>
      </c>
      <c r="C11" s="31" t="s">
        <v>86</v>
      </c>
      <c r="D11" s="30">
        <v>3.96875</v>
      </c>
      <c r="E11" s="31" t="s">
        <v>86</v>
      </c>
      <c r="F11" s="30">
        <v>25.418749999999996</v>
      </c>
      <c r="G11" s="31" t="s">
        <v>89</v>
      </c>
      <c r="H11" s="30">
        <v>31.800000000000004</v>
      </c>
      <c r="I11" s="31" t="s">
        <v>88</v>
      </c>
      <c r="J11" s="30">
        <v>15.8</v>
      </c>
      <c r="K11" s="31" t="s">
        <v>87</v>
      </c>
      <c r="L11" s="32" t="s">
        <v>90</v>
      </c>
    </row>
    <row r="12" spans="1:12" x14ac:dyDescent="0.25">
      <c r="A12" s="24" t="s">
        <v>100</v>
      </c>
      <c r="B12" s="30">
        <v>34.1</v>
      </c>
      <c r="C12" s="31" t="s">
        <v>88</v>
      </c>
      <c r="D12" s="30">
        <v>32</v>
      </c>
      <c r="E12" s="31" t="s">
        <v>89</v>
      </c>
      <c r="F12" s="30">
        <v>25.124999999999996</v>
      </c>
      <c r="G12" s="31" t="s">
        <v>93</v>
      </c>
      <c r="H12" s="30">
        <v>22.193750000000001</v>
      </c>
      <c r="I12" s="31" t="s">
        <v>86</v>
      </c>
      <c r="J12" s="30">
        <v>27.143750000000001</v>
      </c>
      <c r="K12" s="31" t="s">
        <v>101</v>
      </c>
      <c r="L12" s="33">
        <v>3.4041236638570574E-2</v>
      </c>
    </row>
    <row r="13" spans="1:12" x14ac:dyDescent="0.25">
      <c r="A13" s="24" t="s">
        <v>102</v>
      </c>
      <c r="B13" s="30">
        <v>14.65</v>
      </c>
      <c r="C13" s="31" t="s">
        <v>88</v>
      </c>
      <c r="D13" s="30">
        <v>11.231249999999999</v>
      </c>
      <c r="E13" s="31" t="s">
        <v>88</v>
      </c>
      <c r="F13" s="30">
        <v>9.2562499999999996</v>
      </c>
      <c r="G13" s="31" t="s">
        <v>88</v>
      </c>
      <c r="H13" s="30">
        <v>9.8750000000000018</v>
      </c>
      <c r="I13" s="31" t="s">
        <v>88</v>
      </c>
      <c r="J13" s="30">
        <v>11</v>
      </c>
      <c r="K13" s="31" t="s">
        <v>88</v>
      </c>
      <c r="L13" s="20">
        <v>0.32840814446345112</v>
      </c>
    </row>
    <row r="14" spans="1:12" x14ac:dyDescent="0.25">
      <c r="A14" s="24" t="s">
        <v>103</v>
      </c>
      <c r="B14" s="30">
        <v>6.2500000000000003E-3</v>
      </c>
      <c r="C14" s="31" t="s">
        <v>88</v>
      </c>
      <c r="D14" s="30">
        <v>2.8062499999999999</v>
      </c>
      <c r="E14" s="31" t="s">
        <v>88</v>
      </c>
      <c r="F14" s="30">
        <v>3.2937500000000002</v>
      </c>
      <c r="G14" s="31" t="s">
        <v>88</v>
      </c>
      <c r="H14" s="30">
        <v>3.3374999999999999</v>
      </c>
      <c r="I14" s="31" t="s">
        <v>88</v>
      </c>
      <c r="J14" s="30">
        <v>3.2687499999999998</v>
      </c>
      <c r="K14" s="31" t="s">
        <v>88</v>
      </c>
      <c r="L14" s="20">
        <v>0.31977743416155202</v>
      </c>
    </row>
    <row r="15" spans="1:12" x14ac:dyDescent="0.25">
      <c r="A15" s="24" t="s">
        <v>104</v>
      </c>
      <c r="B15" s="30">
        <v>37.999999999999993</v>
      </c>
      <c r="C15" s="31" t="s">
        <v>86</v>
      </c>
      <c r="D15" s="30">
        <v>43.687499999999993</v>
      </c>
      <c r="E15" s="31" t="s">
        <v>93</v>
      </c>
      <c r="F15" s="30">
        <v>55.212499999999999</v>
      </c>
      <c r="G15" s="31" t="s">
        <v>88</v>
      </c>
      <c r="H15" s="30">
        <v>56.525000000000006</v>
      </c>
      <c r="I15" s="31" t="s">
        <v>88</v>
      </c>
      <c r="J15" s="30">
        <v>48.45</v>
      </c>
      <c r="K15" s="31" t="s">
        <v>87</v>
      </c>
      <c r="L15" s="32" t="s">
        <v>90</v>
      </c>
    </row>
    <row r="16" spans="1:12" x14ac:dyDescent="0.25">
      <c r="A16" s="28" t="s">
        <v>105</v>
      </c>
      <c r="B16" s="30"/>
      <c r="C16" s="31"/>
      <c r="D16" s="30"/>
      <c r="E16" s="31"/>
      <c r="F16" s="30"/>
      <c r="G16" s="31"/>
      <c r="H16" s="30"/>
      <c r="I16" s="31"/>
      <c r="J16" s="30"/>
      <c r="K16" s="31"/>
      <c r="L16" s="32"/>
    </row>
    <row r="17" spans="1:14" x14ac:dyDescent="0.25">
      <c r="A17" s="24" t="s">
        <v>106</v>
      </c>
      <c r="B17" s="30">
        <v>46.899999999999991</v>
      </c>
      <c r="C17" s="31" t="s">
        <v>86</v>
      </c>
      <c r="D17" s="30">
        <v>68.15625</v>
      </c>
      <c r="E17" s="31" t="s">
        <v>89</v>
      </c>
      <c r="F17" s="30">
        <v>70.775000000000006</v>
      </c>
      <c r="G17" s="31" t="s">
        <v>88</v>
      </c>
      <c r="H17" s="30">
        <v>61.562500000000007</v>
      </c>
      <c r="I17" s="31" t="s">
        <v>87</v>
      </c>
      <c r="J17" s="30">
        <v>68.762500000000003</v>
      </c>
      <c r="K17" s="31" t="s">
        <v>89</v>
      </c>
      <c r="L17" s="32" t="s">
        <v>90</v>
      </c>
    </row>
    <row r="18" spans="1:14" x14ac:dyDescent="0.25">
      <c r="A18" s="28" t="s">
        <v>107</v>
      </c>
      <c r="B18" s="30"/>
      <c r="C18" s="31"/>
      <c r="D18" s="30"/>
      <c r="E18" s="31"/>
      <c r="F18" s="30"/>
      <c r="G18" s="31"/>
      <c r="H18" s="30"/>
      <c r="I18" s="31"/>
      <c r="J18" s="30"/>
      <c r="K18" s="31"/>
      <c r="L18" s="32"/>
    </row>
    <row r="19" spans="1:14" x14ac:dyDescent="0.25">
      <c r="A19" s="24" t="s">
        <v>108</v>
      </c>
      <c r="B19" s="30">
        <v>53.25</v>
      </c>
      <c r="C19" s="31" t="s">
        <v>87</v>
      </c>
      <c r="D19" s="30">
        <v>55.825000000000003</v>
      </c>
      <c r="E19" s="31" t="s">
        <v>89</v>
      </c>
      <c r="F19" s="30">
        <v>54.568750000000001</v>
      </c>
      <c r="G19" s="31" t="s">
        <v>89</v>
      </c>
      <c r="H19" s="30">
        <v>50.337499999999999</v>
      </c>
      <c r="I19" s="31" t="s">
        <v>87</v>
      </c>
      <c r="J19" s="30">
        <v>62.3</v>
      </c>
      <c r="K19" s="31" t="s">
        <v>88</v>
      </c>
      <c r="L19" s="33">
        <v>6.695323004943704E-2</v>
      </c>
    </row>
    <row r="20" spans="1:14" x14ac:dyDescent="0.25">
      <c r="A20" s="28" t="s">
        <v>109</v>
      </c>
      <c r="B20" s="30"/>
      <c r="C20" s="31"/>
      <c r="D20" s="30"/>
      <c r="E20" s="31"/>
      <c r="F20" s="30"/>
      <c r="G20" s="31"/>
      <c r="H20" s="30"/>
      <c r="I20" s="31"/>
      <c r="J20" s="30"/>
      <c r="K20" s="31"/>
      <c r="L20" s="32"/>
    </row>
    <row r="21" spans="1:14" x14ac:dyDescent="0.25">
      <c r="A21" s="24" t="s">
        <v>98</v>
      </c>
      <c r="B21" s="30">
        <v>33.4</v>
      </c>
      <c r="C21" s="31" t="s">
        <v>89</v>
      </c>
      <c r="D21" s="30">
        <v>35.362499999999997</v>
      </c>
      <c r="E21" s="31" t="s">
        <v>89</v>
      </c>
      <c r="F21" s="30">
        <v>33.431249999999999</v>
      </c>
      <c r="G21" s="31" t="s">
        <v>89</v>
      </c>
      <c r="H21" s="30">
        <v>29.874999999999996</v>
      </c>
      <c r="I21" s="31" t="s">
        <v>87</v>
      </c>
      <c r="J21" s="30">
        <v>37.118749999999999</v>
      </c>
      <c r="K21" s="31" t="s">
        <v>88</v>
      </c>
      <c r="L21" s="20">
        <v>0.33630310147718923</v>
      </c>
    </row>
    <row r="22" spans="1:14" x14ac:dyDescent="0.25">
      <c r="A22" s="24" t="s">
        <v>110</v>
      </c>
      <c r="B22" s="30">
        <v>6.0312500000000009</v>
      </c>
      <c r="C22" s="31" t="s">
        <v>86</v>
      </c>
      <c r="D22" s="30">
        <v>8.7562499999999996</v>
      </c>
      <c r="E22" s="31" t="s">
        <v>89</v>
      </c>
      <c r="F22" s="30">
        <v>11.056249999999997</v>
      </c>
      <c r="G22" s="31" t="s">
        <v>88</v>
      </c>
      <c r="H22" s="30">
        <v>8.3874999999999993</v>
      </c>
      <c r="I22" s="31" t="s">
        <v>93</v>
      </c>
      <c r="J22" s="30">
        <v>9.8812500000000014</v>
      </c>
      <c r="K22" s="31" t="s">
        <v>89</v>
      </c>
      <c r="L22" s="33">
        <v>3.3963514546506675E-3</v>
      </c>
    </row>
    <row r="23" spans="1:14" x14ac:dyDescent="0.25">
      <c r="A23" s="24" t="s">
        <v>111</v>
      </c>
      <c r="B23" s="30">
        <v>1.15625</v>
      </c>
      <c r="C23" s="31" t="s">
        <v>86</v>
      </c>
      <c r="D23" s="30">
        <v>6.8250000000000002</v>
      </c>
      <c r="E23" s="31" t="s">
        <v>87</v>
      </c>
      <c r="F23" s="30">
        <v>16.781249999999996</v>
      </c>
      <c r="G23" s="31" t="s">
        <v>88</v>
      </c>
      <c r="H23" s="30">
        <v>20.443749999999998</v>
      </c>
      <c r="I23" s="31" t="s">
        <v>88</v>
      </c>
      <c r="J23" s="30">
        <v>10.456250000000001</v>
      </c>
      <c r="K23" s="31" t="s">
        <v>87</v>
      </c>
      <c r="L23" s="32" t="s">
        <v>90</v>
      </c>
      <c r="N23" s="30"/>
    </row>
    <row r="24" spans="1:14" x14ac:dyDescent="0.25">
      <c r="A24" s="24" t="s">
        <v>99</v>
      </c>
      <c r="B24" s="30">
        <v>0</v>
      </c>
      <c r="C24" s="31" t="s">
        <v>112</v>
      </c>
      <c r="D24" s="30">
        <v>5.9375000000000009</v>
      </c>
      <c r="E24" s="31" t="s">
        <v>113</v>
      </c>
      <c r="F24" s="30">
        <v>27.618749999999999</v>
      </c>
      <c r="G24" s="31" t="s">
        <v>89</v>
      </c>
      <c r="H24" s="30">
        <v>35.800000000000004</v>
      </c>
      <c r="I24" s="31" t="s">
        <v>88</v>
      </c>
      <c r="J24" s="30">
        <v>15.59375</v>
      </c>
      <c r="K24" s="31" t="s">
        <v>93</v>
      </c>
      <c r="L24" s="32" t="s">
        <v>90</v>
      </c>
    </row>
    <row r="25" spans="1:14" x14ac:dyDescent="0.25">
      <c r="A25" s="24" t="s">
        <v>100</v>
      </c>
      <c r="B25" s="30">
        <v>27.468749999999996</v>
      </c>
      <c r="C25" s="31" t="s">
        <v>88</v>
      </c>
      <c r="D25" s="30">
        <v>27.118749999999999</v>
      </c>
      <c r="E25" s="31" t="s">
        <v>88</v>
      </c>
      <c r="F25" s="30">
        <v>25.031250000000004</v>
      </c>
      <c r="G25" s="31" t="s">
        <v>88</v>
      </c>
      <c r="H25" s="30">
        <v>21.118749999999995</v>
      </c>
      <c r="I25" s="31" t="s">
        <v>88</v>
      </c>
      <c r="J25" s="30">
        <v>26.956250000000001</v>
      </c>
      <c r="K25" s="31" t="s">
        <v>88</v>
      </c>
      <c r="L25" s="20">
        <v>0.60269525854530459</v>
      </c>
      <c r="M25" s="24"/>
    </row>
    <row r="26" spans="1:14" x14ac:dyDescent="0.25">
      <c r="A26" s="24" t="s">
        <v>102</v>
      </c>
      <c r="B26" s="30">
        <v>29.09375</v>
      </c>
      <c r="C26" s="31" t="s">
        <v>88</v>
      </c>
      <c r="D26" s="30">
        <v>17.893749999999997</v>
      </c>
      <c r="E26" s="31" t="s">
        <v>93</v>
      </c>
      <c r="F26" s="30">
        <v>15.768750000000001</v>
      </c>
      <c r="G26" s="31" t="s">
        <v>86</v>
      </c>
      <c r="H26" s="30">
        <v>16.518750000000001</v>
      </c>
      <c r="I26" s="31" t="s">
        <v>86</v>
      </c>
      <c r="J26" s="30">
        <v>22.737499999999997</v>
      </c>
      <c r="K26" s="31" t="s">
        <v>87</v>
      </c>
      <c r="L26" s="32">
        <v>5.3674357171576347E-5</v>
      </c>
      <c r="M26" s="24"/>
    </row>
    <row r="27" spans="1:14" x14ac:dyDescent="0.25">
      <c r="A27" s="24" t="s">
        <v>104</v>
      </c>
      <c r="B27" s="30">
        <v>31.424999999999994</v>
      </c>
      <c r="C27" s="31" t="s">
        <v>86</v>
      </c>
      <c r="D27" s="30">
        <v>47.474999999999994</v>
      </c>
      <c r="E27" s="31" t="s">
        <v>87</v>
      </c>
      <c r="F27" s="30">
        <v>55.45</v>
      </c>
      <c r="G27" s="31" t="s">
        <v>89</v>
      </c>
      <c r="H27" s="30">
        <v>59.125000000000007</v>
      </c>
      <c r="I27" s="31" t="s">
        <v>88</v>
      </c>
      <c r="J27" s="30">
        <v>51.90625</v>
      </c>
      <c r="K27" s="31" t="s">
        <v>89</v>
      </c>
      <c r="L27" s="32" t="s">
        <v>90</v>
      </c>
      <c r="M27" s="24"/>
    </row>
    <row r="28" spans="1:14" x14ac:dyDescent="0.25">
      <c r="A28" s="24" t="s">
        <v>114</v>
      </c>
      <c r="B28" s="30">
        <v>0</v>
      </c>
      <c r="C28" s="31" t="s">
        <v>88</v>
      </c>
      <c r="D28" s="30">
        <v>0.76249999999999996</v>
      </c>
      <c r="E28" s="31" t="s">
        <v>88</v>
      </c>
      <c r="F28" s="30">
        <v>0.66874999999999996</v>
      </c>
      <c r="G28" s="31" t="s">
        <v>88</v>
      </c>
      <c r="H28" s="30">
        <v>0.55000000000000004</v>
      </c>
      <c r="I28" s="31" t="s">
        <v>88</v>
      </c>
      <c r="J28" s="30">
        <v>1.2500000000000001E-2</v>
      </c>
      <c r="K28" s="31" t="s">
        <v>88</v>
      </c>
      <c r="L28" s="20">
        <v>0.73271439510625269</v>
      </c>
      <c r="M28" s="24"/>
    </row>
    <row r="29" spans="1:14" x14ac:dyDescent="0.25">
      <c r="A29" s="24" t="s">
        <v>115</v>
      </c>
      <c r="B29" s="30">
        <v>2.90625</v>
      </c>
      <c r="C29" s="31" t="s">
        <v>87</v>
      </c>
      <c r="D29" s="30">
        <v>7.4562499999999998</v>
      </c>
      <c r="E29" s="31" t="s">
        <v>88</v>
      </c>
      <c r="F29" s="30">
        <v>6.7874999999999996</v>
      </c>
      <c r="G29" s="31" t="s">
        <v>89</v>
      </c>
      <c r="H29" s="30">
        <v>5.4625000000000004</v>
      </c>
      <c r="I29" s="31" t="s">
        <v>89</v>
      </c>
      <c r="J29" s="30">
        <v>8.2750000000000004</v>
      </c>
      <c r="K29" s="31" t="s">
        <v>88</v>
      </c>
      <c r="L29" s="33">
        <v>7.6368382888659173E-2</v>
      </c>
      <c r="M29" s="24"/>
    </row>
    <row r="30" spans="1:14" x14ac:dyDescent="0.25">
      <c r="A30" s="28" t="s">
        <v>116</v>
      </c>
      <c r="B30" s="30"/>
      <c r="C30" s="31"/>
      <c r="D30" s="30"/>
      <c r="E30" s="31"/>
      <c r="F30" s="30"/>
      <c r="G30" s="31"/>
      <c r="H30" s="30"/>
      <c r="I30" s="31"/>
      <c r="J30" s="30"/>
      <c r="K30" s="31"/>
      <c r="L30" s="32"/>
    </row>
    <row r="31" spans="1:14" x14ac:dyDescent="0.25">
      <c r="A31" s="24" t="s">
        <v>117</v>
      </c>
      <c r="B31" s="30">
        <v>54.831249999999997</v>
      </c>
      <c r="C31" s="31" t="s">
        <v>88</v>
      </c>
      <c r="D31" s="30">
        <v>50.706249999999997</v>
      </c>
      <c r="E31" s="31" t="s">
        <v>89</v>
      </c>
      <c r="F31" s="30">
        <v>51.268749999999997</v>
      </c>
      <c r="G31" s="31" t="s">
        <v>89</v>
      </c>
      <c r="H31" s="30">
        <v>54.343749999999993</v>
      </c>
      <c r="I31" s="31" t="s">
        <v>88</v>
      </c>
      <c r="J31" s="30">
        <v>46.25</v>
      </c>
      <c r="K31" s="31" t="s">
        <v>87</v>
      </c>
      <c r="L31" s="33">
        <v>6.4143989210911939E-2</v>
      </c>
    </row>
    <row r="32" spans="1:14" x14ac:dyDescent="0.25">
      <c r="A32" s="24" t="s">
        <v>118</v>
      </c>
      <c r="B32" s="30">
        <v>45.493749999999999</v>
      </c>
      <c r="C32" s="31" t="s">
        <v>86</v>
      </c>
      <c r="D32" s="30">
        <v>69.55</v>
      </c>
      <c r="E32" s="31" t="s">
        <v>88</v>
      </c>
      <c r="F32" s="30">
        <v>70.531250000000014</v>
      </c>
      <c r="G32" s="31" t="s">
        <v>88</v>
      </c>
      <c r="H32" s="30">
        <v>70.393749999999997</v>
      </c>
      <c r="I32" s="31" t="s">
        <v>88</v>
      </c>
      <c r="J32" s="30">
        <v>60.462499999999999</v>
      </c>
      <c r="K32" s="31" t="s">
        <v>87</v>
      </c>
      <c r="L32" s="32" t="s">
        <v>90</v>
      </c>
    </row>
    <row r="33" spans="1:14" x14ac:dyDescent="0.25">
      <c r="A33" s="24" t="s">
        <v>119</v>
      </c>
      <c r="B33" s="30">
        <v>40.362499999999997</v>
      </c>
      <c r="C33" s="31" t="s">
        <v>88</v>
      </c>
      <c r="D33" s="30">
        <v>26.09375</v>
      </c>
      <c r="E33" s="31" t="s">
        <v>87</v>
      </c>
      <c r="F33" s="30">
        <v>31.1</v>
      </c>
      <c r="G33" s="31" t="s">
        <v>87</v>
      </c>
      <c r="H33" s="30">
        <v>29.799999999999997</v>
      </c>
      <c r="I33" s="31" t="s">
        <v>87</v>
      </c>
      <c r="J33" s="30">
        <v>32.981250000000003</v>
      </c>
      <c r="K33" s="31" t="s">
        <v>89</v>
      </c>
      <c r="L33" s="33">
        <v>1.3944598193674088E-2</v>
      </c>
    </row>
    <row r="34" spans="1:14" x14ac:dyDescent="0.25">
      <c r="A34" s="24" t="s">
        <v>120</v>
      </c>
      <c r="B34" s="30">
        <v>38.856249999999996</v>
      </c>
      <c r="C34" s="31" t="s">
        <v>87</v>
      </c>
      <c r="D34" s="30">
        <v>41.243749999999999</v>
      </c>
      <c r="E34" s="31" t="s">
        <v>89</v>
      </c>
      <c r="F34" s="30">
        <v>45.881250000000001</v>
      </c>
      <c r="G34" s="31" t="s">
        <v>88</v>
      </c>
      <c r="H34" s="30">
        <v>42.6</v>
      </c>
      <c r="I34" s="31" t="s">
        <v>89</v>
      </c>
      <c r="J34" s="30">
        <v>39.625</v>
      </c>
      <c r="K34" s="31" t="s">
        <v>87</v>
      </c>
      <c r="L34" s="20">
        <v>0.187334247680432</v>
      </c>
    </row>
    <row r="35" spans="1:14" x14ac:dyDescent="0.25">
      <c r="A35" s="24" t="s">
        <v>102</v>
      </c>
      <c r="B35" s="30">
        <v>30.068750000000005</v>
      </c>
      <c r="C35" s="31" t="s">
        <v>88</v>
      </c>
      <c r="D35" s="30">
        <v>15.074999999999999</v>
      </c>
      <c r="E35" s="31" t="s">
        <v>87</v>
      </c>
      <c r="F35" s="30">
        <v>21.281250000000004</v>
      </c>
      <c r="G35" s="31" t="s">
        <v>87</v>
      </c>
      <c r="H35" s="30">
        <v>17.706249999999997</v>
      </c>
      <c r="I35" s="31" t="s">
        <v>87</v>
      </c>
      <c r="J35" s="30">
        <v>22.831250000000001</v>
      </c>
      <c r="K35" s="31" t="s">
        <v>89</v>
      </c>
      <c r="L35" s="33">
        <v>8.1402245649256806E-3</v>
      </c>
    </row>
    <row r="36" spans="1:14" x14ac:dyDescent="0.25">
      <c r="A36" s="24" t="s">
        <v>121</v>
      </c>
      <c r="B36" s="30">
        <v>12.375</v>
      </c>
      <c r="C36" s="31" t="s">
        <v>86</v>
      </c>
      <c r="D36" s="30">
        <v>29.337499999999999</v>
      </c>
      <c r="E36" s="31" t="s">
        <v>88</v>
      </c>
      <c r="F36" s="30">
        <v>27.181249999999999</v>
      </c>
      <c r="G36" s="31" t="s">
        <v>89</v>
      </c>
      <c r="H36" s="30">
        <v>27.068750000000005</v>
      </c>
      <c r="I36" s="31" t="s">
        <v>89</v>
      </c>
      <c r="J36" s="30">
        <v>21.718749999999996</v>
      </c>
      <c r="K36" s="31" t="s">
        <v>87</v>
      </c>
      <c r="L36" s="32">
        <v>3.3812290100627003E-4</v>
      </c>
    </row>
    <row r="37" spans="1:14" x14ac:dyDescent="0.25">
      <c r="A37" s="24" t="s">
        <v>122</v>
      </c>
      <c r="B37" s="30">
        <v>40.387499999999996</v>
      </c>
      <c r="C37" s="31" t="s">
        <v>86</v>
      </c>
      <c r="D37" s="30">
        <v>50.499999999999993</v>
      </c>
      <c r="E37" s="31" t="s">
        <v>88</v>
      </c>
      <c r="F37" s="30">
        <v>46.568750000000001</v>
      </c>
      <c r="G37" s="31" t="s">
        <v>101</v>
      </c>
      <c r="H37" s="30">
        <v>48.618750000000006</v>
      </c>
      <c r="I37" s="31" t="s">
        <v>89</v>
      </c>
      <c r="J37" s="30">
        <v>42.90625</v>
      </c>
      <c r="K37" s="31" t="s">
        <v>93</v>
      </c>
      <c r="L37" s="33">
        <v>1.5228927646927232E-2</v>
      </c>
    </row>
    <row r="38" spans="1:14" x14ac:dyDescent="0.25">
      <c r="A38" s="28" t="s">
        <v>123</v>
      </c>
      <c r="B38" s="30"/>
      <c r="C38" s="31"/>
      <c r="D38" s="30"/>
      <c r="E38" s="31"/>
      <c r="F38" s="30"/>
      <c r="G38" s="31"/>
      <c r="H38" s="30"/>
      <c r="I38" s="31"/>
      <c r="J38" s="30"/>
      <c r="K38" s="31"/>
      <c r="L38" s="32"/>
    </row>
    <row r="39" spans="1:14" x14ac:dyDescent="0.25">
      <c r="A39" s="24" t="s">
        <v>98</v>
      </c>
      <c r="B39" s="30">
        <v>22.90625</v>
      </c>
      <c r="C39" s="31" t="s">
        <v>88</v>
      </c>
      <c r="D39" s="30">
        <v>25.450000000000003</v>
      </c>
      <c r="E39" s="31" t="s">
        <v>88</v>
      </c>
      <c r="F39" s="30">
        <v>26.506250000000001</v>
      </c>
      <c r="G39" s="31" t="s">
        <v>88</v>
      </c>
      <c r="H39" s="30">
        <v>23.768750000000001</v>
      </c>
      <c r="I39" s="31" t="s">
        <v>88</v>
      </c>
      <c r="J39" s="30">
        <v>27.118749999999999</v>
      </c>
      <c r="K39" s="31" t="s">
        <v>88</v>
      </c>
      <c r="L39" s="20">
        <v>0.4145523946359212</v>
      </c>
    </row>
    <row r="40" spans="1:14" x14ac:dyDescent="0.25">
      <c r="A40" s="24" t="s">
        <v>110</v>
      </c>
      <c r="B40" s="30">
        <v>5.2874999999999996</v>
      </c>
      <c r="C40" s="31" t="s">
        <v>87</v>
      </c>
      <c r="D40" s="30">
        <v>8.3937500000000007</v>
      </c>
      <c r="E40" s="31" t="s">
        <v>88</v>
      </c>
      <c r="F40" s="30">
        <v>8.4312500000000004</v>
      </c>
      <c r="G40" s="31" t="s">
        <v>88</v>
      </c>
      <c r="H40" s="30">
        <v>8.2249999999999996</v>
      </c>
      <c r="I40" s="31" t="s">
        <v>88</v>
      </c>
      <c r="J40" s="30">
        <v>9.5437499999999993</v>
      </c>
      <c r="K40" s="31" t="s">
        <v>88</v>
      </c>
      <c r="L40" s="33">
        <v>1.5627295370577289E-3</v>
      </c>
    </row>
    <row r="41" spans="1:14" x14ac:dyDescent="0.25">
      <c r="A41" s="24" t="s">
        <v>111</v>
      </c>
      <c r="B41" s="30">
        <v>1.03125</v>
      </c>
      <c r="C41" s="31" t="s">
        <v>86</v>
      </c>
      <c r="D41" s="30">
        <v>6.2125000000000004</v>
      </c>
      <c r="E41" s="31" t="s">
        <v>87</v>
      </c>
      <c r="F41" s="30">
        <v>9.65625</v>
      </c>
      <c r="G41" s="31" t="s">
        <v>87</v>
      </c>
      <c r="H41" s="30">
        <v>16.237500000000001</v>
      </c>
      <c r="I41" s="31" t="s">
        <v>88</v>
      </c>
      <c r="J41" s="30">
        <v>8.0374999999999996</v>
      </c>
      <c r="K41" s="31" t="s">
        <v>87</v>
      </c>
      <c r="L41" s="32" t="s">
        <v>90</v>
      </c>
      <c r="N41" s="24"/>
    </row>
    <row r="42" spans="1:14" x14ac:dyDescent="0.25">
      <c r="A42" s="24" t="s">
        <v>99</v>
      </c>
      <c r="B42" s="30">
        <v>6.2500000000000003E-3</v>
      </c>
      <c r="C42" s="31" t="s">
        <v>86</v>
      </c>
      <c r="D42" s="30">
        <v>2.71875</v>
      </c>
      <c r="E42" s="31" t="s">
        <v>93</v>
      </c>
      <c r="F42" s="30">
        <v>12.574999999999998</v>
      </c>
      <c r="G42" s="31" t="s">
        <v>88</v>
      </c>
      <c r="H42" s="30">
        <v>15.868749999999999</v>
      </c>
      <c r="I42" s="31" t="s">
        <v>88</v>
      </c>
      <c r="J42" s="30">
        <v>6.4</v>
      </c>
      <c r="K42" s="31" t="s">
        <v>87</v>
      </c>
      <c r="L42" s="32" t="s">
        <v>90</v>
      </c>
      <c r="N42" s="24"/>
    </row>
    <row r="43" spans="1:14" x14ac:dyDescent="0.25">
      <c r="A43" s="24" t="s">
        <v>124</v>
      </c>
      <c r="B43" s="30">
        <v>0.51249999999999996</v>
      </c>
      <c r="C43" s="31" t="s">
        <v>88</v>
      </c>
      <c r="D43" s="30">
        <v>1.3875</v>
      </c>
      <c r="E43" s="31" t="s">
        <v>88</v>
      </c>
      <c r="F43" s="30">
        <v>1.71875</v>
      </c>
      <c r="G43" s="31" t="s">
        <v>88</v>
      </c>
      <c r="H43" s="30">
        <v>0.4</v>
      </c>
      <c r="I43" s="31" t="s">
        <v>88</v>
      </c>
      <c r="J43" s="30">
        <v>0.98124999999999996</v>
      </c>
      <c r="K43" s="31" t="s">
        <v>88</v>
      </c>
      <c r="L43" s="20">
        <v>0.59506671382513332</v>
      </c>
      <c r="N43" s="24"/>
    </row>
    <row r="44" spans="1:14" x14ac:dyDescent="0.25">
      <c r="A44" s="24" t="s">
        <v>125</v>
      </c>
      <c r="B44" s="30">
        <v>6.2500000000000003E-3</v>
      </c>
      <c r="C44" s="31" t="s">
        <v>88</v>
      </c>
      <c r="D44" s="30">
        <v>0.77500000000000002</v>
      </c>
      <c r="E44" s="31" t="s">
        <v>88</v>
      </c>
      <c r="F44" s="30">
        <v>1.125</v>
      </c>
      <c r="G44" s="31" t="s">
        <v>88</v>
      </c>
      <c r="H44" s="30">
        <v>6.2500000000000003E-3</v>
      </c>
      <c r="I44" s="31" t="s">
        <v>88</v>
      </c>
      <c r="J44" s="30">
        <v>0.69374999999999998</v>
      </c>
      <c r="K44" s="31" t="s">
        <v>88</v>
      </c>
      <c r="L44" s="20">
        <v>0.41575197542975956</v>
      </c>
      <c r="N44" s="24"/>
    </row>
    <row r="45" spans="1:14" x14ac:dyDescent="0.25">
      <c r="A45" s="24" t="s">
        <v>126</v>
      </c>
      <c r="B45" s="30">
        <v>26.856249999999996</v>
      </c>
      <c r="C45" s="31" t="s">
        <v>88</v>
      </c>
      <c r="D45" s="30">
        <v>23.931249999999999</v>
      </c>
      <c r="E45" s="31" t="s">
        <v>88</v>
      </c>
      <c r="F45" s="30">
        <v>28.824999999999999</v>
      </c>
      <c r="G45" s="31" t="s">
        <v>88</v>
      </c>
      <c r="H45" s="30">
        <v>27.462499999999999</v>
      </c>
      <c r="I45" s="31" t="s">
        <v>88</v>
      </c>
      <c r="J45" s="30">
        <v>28.331250000000001</v>
      </c>
      <c r="K45" s="31" t="s">
        <v>88</v>
      </c>
      <c r="L45" s="20">
        <v>0.63082842267320516</v>
      </c>
      <c r="N45" s="24"/>
    </row>
    <row r="46" spans="1:14" x14ac:dyDescent="0.25">
      <c r="A46" s="24" t="s">
        <v>127</v>
      </c>
      <c r="B46" s="30">
        <v>27.668749999999999</v>
      </c>
      <c r="C46" s="31" t="s">
        <v>88</v>
      </c>
      <c r="D46" s="30">
        <v>29.35</v>
      </c>
      <c r="E46" s="31" t="s">
        <v>88</v>
      </c>
      <c r="F46" s="30">
        <v>31.762499999999996</v>
      </c>
      <c r="G46" s="31" t="s">
        <v>88</v>
      </c>
      <c r="H46" s="30">
        <v>30.987500000000001</v>
      </c>
      <c r="I46" s="31" t="s">
        <v>88</v>
      </c>
      <c r="J46" s="30">
        <v>29.106249999999999</v>
      </c>
      <c r="K46" s="31" t="s">
        <v>88</v>
      </c>
      <c r="L46" s="20">
        <v>0.65192716861037592</v>
      </c>
      <c r="N46" s="24"/>
    </row>
    <row r="47" spans="1:14" x14ac:dyDescent="0.25">
      <c r="A47" s="24" t="s">
        <v>128</v>
      </c>
      <c r="B47" s="30">
        <v>1.7875000000000001</v>
      </c>
      <c r="C47" s="31" t="s">
        <v>88</v>
      </c>
      <c r="D47" s="30">
        <v>4.3062499999999995</v>
      </c>
      <c r="E47" s="31" t="s">
        <v>88</v>
      </c>
      <c r="F47" s="30">
        <v>5.2937500000000002</v>
      </c>
      <c r="G47" s="31" t="s">
        <v>88</v>
      </c>
      <c r="H47" s="30">
        <v>3.5625</v>
      </c>
      <c r="I47" s="31" t="s">
        <v>88</v>
      </c>
      <c r="J47" s="30">
        <v>2.65</v>
      </c>
      <c r="K47" s="31" t="s">
        <v>88</v>
      </c>
      <c r="L47" s="20">
        <v>0.39113472751312744</v>
      </c>
      <c r="N47" s="24"/>
    </row>
    <row r="48" spans="1:14" x14ac:dyDescent="0.25">
      <c r="A48" s="24" t="s">
        <v>129</v>
      </c>
      <c r="B48" s="30">
        <v>39.90625</v>
      </c>
      <c r="C48" s="31" t="s">
        <v>88</v>
      </c>
      <c r="D48" s="30">
        <v>41.518749999999997</v>
      </c>
      <c r="E48" s="31" t="s">
        <v>88</v>
      </c>
      <c r="F48" s="30">
        <v>43.424999999999997</v>
      </c>
      <c r="G48" s="31" t="s">
        <v>88</v>
      </c>
      <c r="H48" s="30">
        <v>43.2</v>
      </c>
      <c r="I48" s="31" t="s">
        <v>88</v>
      </c>
      <c r="J48" s="30">
        <v>41.749999999999993</v>
      </c>
      <c r="K48" s="31" t="s">
        <v>88</v>
      </c>
      <c r="L48" s="20">
        <v>0.78330444107871489</v>
      </c>
      <c r="N48" s="24"/>
    </row>
    <row r="49" spans="14:14" x14ac:dyDescent="0.25">
      <c r="N49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E5FC-D7E7-4BB9-84BD-FDE928F477FE}">
  <dimension ref="A1"/>
  <sheetViews>
    <sheetView workbookViewId="0">
      <selection activeCell="H1" sqref="H1:T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Table 3_WL</vt:lpstr>
      <vt:lpstr>Table 3_aw</vt:lpstr>
      <vt:lpstr>Table 3_Moisture</vt:lpstr>
      <vt:lpstr>Table 4_Dimensions</vt:lpstr>
      <vt:lpstr>Figure 3_Resistance to penetrat</vt:lpstr>
      <vt:lpstr>Figure 3_Number of peaks</vt:lpstr>
      <vt:lpstr>Figure 4_Breaking strength</vt:lpstr>
      <vt:lpstr>Figure 4_Fracturability</vt:lpstr>
      <vt:lpstr>Table 5_Colour parameters</vt:lpstr>
      <vt:lpstr>Table 6_sensory profile of bisc</vt:lpstr>
      <vt:lpstr>Figure 4_PCA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Rodriguez Garcia</dc:creator>
  <cp:lastModifiedBy>Julia Rodriguez Garcia</cp:lastModifiedBy>
  <dcterms:created xsi:type="dcterms:W3CDTF">2022-05-30T13:45:58Z</dcterms:created>
  <dcterms:modified xsi:type="dcterms:W3CDTF">2022-05-30T14:40:32Z</dcterms:modified>
</cp:coreProperties>
</file>